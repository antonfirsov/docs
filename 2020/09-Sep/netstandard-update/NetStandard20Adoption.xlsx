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blog\2020\06-Jun\netstandard-update\"/>
    </mc:Choice>
  </mc:AlternateContent>
  <xr:revisionPtr revIDLastSave="0" documentId="13_ncr:1_{EC11B382-BFD9-4A44-BE93-B94CF6D2CA6D}" xr6:coauthVersionLast="45" xr6:coauthVersionMax="45" xr10:uidLastSave="{00000000-0000-0000-0000-000000000000}"/>
  <bookViews>
    <workbookView xWindow="-110" yWindow="-110" windowWidth="29020" windowHeight="17620" xr2:uid="{96461BB3-69BF-48D6-91C6-7CD3530693FE}"/>
  </bookViews>
  <sheets>
    <sheet name="Summary" sheetId="3" r:id="rId1"/>
    <sheet name="Top 1000" sheetId="2" r:id="rId2"/>
    <sheet name="Al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6" i="2" l="1"/>
  <c r="C137" i="2"/>
  <c r="C138" i="2"/>
  <c r="C139" i="2"/>
  <c r="C140" i="2"/>
  <c r="C141" i="2"/>
  <c r="C142" i="2"/>
  <c r="D4" i="3"/>
  <c r="D3" i="3"/>
  <c r="D2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</calcChain>
</file>

<file path=xl/sharedStrings.xml><?xml version="1.0" encoding="utf-8"?>
<sst xmlns="http://schemas.openxmlformats.org/spreadsheetml/2006/main" count="13" uniqueCount="10">
  <si>
    <t>ConversionDate</t>
  </si>
  <si>
    <t>ConvertedPackages</t>
  </si>
  <si>
    <t>ConvertedPackagesCumulative</t>
  </si>
  <si>
    <t>NET Standard Packages</t>
  </si>
  <si>
    <t>Percentage</t>
  </si>
  <si>
    <t>Label</t>
  </si>
  <si>
    <t>Top 1000</t>
  </si>
  <si>
    <t>All</t>
  </si>
  <si>
    <t>Active</t>
  </si>
  <si>
    <t>Total 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</si>
</sst>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9932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5"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/>
              <a:t>#Top 1,000 Packages supporting .NET Standard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'Top 1000'!$C$1</c:f>
              <c:strCache>
                <c:ptCount val="1"/>
                <c:pt idx="0">
                  <c:v>ConvertedPackagesCumulative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'Top 1000'!$A$2:$A$142</c:f>
              <c:numCache>
                <c:formatCode>m/d/yyyy</c:formatCode>
                <c:ptCount val="141"/>
                <c:pt idx="0">
                  <c:v>42474.056668113422</c:v>
                </c:pt>
                <c:pt idx="1">
                  <c:v>42495.056668113422</c:v>
                </c:pt>
                <c:pt idx="2">
                  <c:v>42502.056668113422</c:v>
                </c:pt>
                <c:pt idx="3">
                  <c:v>42509.056668113422</c:v>
                </c:pt>
                <c:pt idx="4">
                  <c:v>42516.056668113422</c:v>
                </c:pt>
                <c:pt idx="5">
                  <c:v>42523.056668113422</c:v>
                </c:pt>
                <c:pt idx="6">
                  <c:v>42530.056668113422</c:v>
                </c:pt>
                <c:pt idx="7">
                  <c:v>42537.056668113422</c:v>
                </c:pt>
                <c:pt idx="8">
                  <c:v>42544.056668113422</c:v>
                </c:pt>
                <c:pt idx="9">
                  <c:v>42551.056668113422</c:v>
                </c:pt>
                <c:pt idx="10">
                  <c:v>42558.056668113422</c:v>
                </c:pt>
                <c:pt idx="11">
                  <c:v>42565.056668113422</c:v>
                </c:pt>
                <c:pt idx="12">
                  <c:v>42572.056668113422</c:v>
                </c:pt>
                <c:pt idx="13">
                  <c:v>42579.056668113422</c:v>
                </c:pt>
                <c:pt idx="14">
                  <c:v>42586.056668113422</c:v>
                </c:pt>
                <c:pt idx="15">
                  <c:v>42593.056668113422</c:v>
                </c:pt>
                <c:pt idx="16">
                  <c:v>42600.056668113422</c:v>
                </c:pt>
                <c:pt idx="17">
                  <c:v>42607.056668113422</c:v>
                </c:pt>
                <c:pt idx="18">
                  <c:v>42614.056668113422</c:v>
                </c:pt>
                <c:pt idx="19">
                  <c:v>42621.056668113422</c:v>
                </c:pt>
                <c:pt idx="20">
                  <c:v>42628.056668113422</c:v>
                </c:pt>
                <c:pt idx="21">
                  <c:v>42635.056668113422</c:v>
                </c:pt>
                <c:pt idx="22">
                  <c:v>42642.056668113422</c:v>
                </c:pt>
                <c:pt idx="23">
                  <c:v>42649.056668113422</c:v>
                </c:pt>
                <c:pt idx="24">
                  <c:v>42656.056668113422</c:v>
                </c:pt>
                <c:pt idx="25">
                  <c:v>42663.056668113422</c:v>
                </c:pt>
                <c:pt idx="26">
                  <c:v>42670.056668113422</c:v>
                </c:pt>
                <c:pt idx="27">
                  <c:v>42677.056668113422</c:v>
                </c:pt>
                <c:pt idx="28">
                  <c:v>42684.056668113422</c:v>
                </c:pt>
                <c:pt idx="29">
                  <c:v>42691.056668113422</c:v>
                </c:pt>
                <c:pt idx="30">
                  <c:v>42698.056668113422</c:v>
                </c:pt>
                <c:pt idx="31">
                  <c:v>42705.056668113422</c:v>
                </c:pt>
                <c:pt idx="32">
                  <c:v>42712.056668113422</c:v>
                </c:pt>
                <c:pt idx="33">
                  <c:v>42719.056668113422</c:v>
                </c:pt>
                <c:pt idx="34">
                  <c:v>42726.056668113422</c:v>
                </c:pt>
                <c:pt idx="35">
                  <c:v>42733.056668113422</c:v>
                </c:pt>
                <c:pt idx="36">
                  <c:v>42740.056668113422</c:v>
                </c:pt>
                <c:pt idx="37">
                  <c:v>42747.056668113422</c:v>
                </c:pt>
                <c:pt idx="38">
                  <c:v>42754.056668113422</c:v>
                </c:pt>
                <c:pt idx="39">
                  <c:v>42761.056668113422</c:v>
                </c:pt>
                <c:pt idx="40">
                  <c:v>42768.056668113422</c:v>
                </c:pt>
                <c:pt idx="41">
                  <c:v>42775.056668113422</c:v>
                </c:pt>
                <c:pt idx="42">
                  <c:v>42782.056668113422</c:v>
                </c:pt>
                <c:pt idx="43">
                  <c:v>42789.056668113422</c:v>
                </c:pt>
                <c:pt idx="44">
                  <c:v>42796.056668113422</c:v>
                </c:pt>
                <c:pt idx="45">
                  <c:v>42803.056668113422</c:v>
                </c:pt>
                <c:pt idx="46">
                  <c:v>42810.056668113422</c:v>
                </c:pt>
                <c:pt idx="47">
                  <c:v>42817.056668113422</c:v>
                </c:pt>
                <c:pt idx="48">
                  <c:v>42824.056668113422</c:v>
                </c:pt>
                <c:pt idx="49">
                  <c:v>42831.056668113422</c:v>
                </c:pt>
                <c:pt idx="50">
                  <c:v>42838.056668113422</c:v>
                </c:pt>
                <c:pt idx="51">
                  <c:v>42845.056668113422</c:v>
                </c:pt>
                <c:pt idx="52">
                  <c:v>42852.056668113422</c:v>
                </c:pt>
                <c:pt idx="53">
                  <c:v>42859.056668113422</c:v>
                </c:pt>
                <c:pt idx="54">
                  <c:v>42866.056668113422</c:v>
                </c:pt>
                <c:pt idx="55">
                  <c:v>42873.056668113422</c:v>
                </c:pt>
                <c:pt idx="56">
                  <c:v>42880.056668113422</c:v>
                </c:pt>
                <c:pt idx="57">
                  <c:v>42887.056668113422</c:v>
                </c:pt>
                <c:pt idx="58">
                  <c:v>42894.056668113422</c:v>
                </c:pt>
                <c:pt idx="59">
                  <c:v>42901.056668113422</c:v>
                </c:pt>
                <c:pt idx="60">
                  <c:v>42908.056668113422</c:v>
                </c:pt>
                <c:pt idx="61">
                  <c:v>42922.056668113422</c:v>
                </c:pt>
                <c:pt idx="62">
                  <c:v>42936.056668113422</c:v>
                </c:pt>
                <c:pt idx="63">
                  <c:v>42943.056668113422</c:v>
                </c:pt>
                <c:pt idx="64">
                  <c:v>42950.056668113422</c:v>
                </c:pt>
                <c:pt idx="65">
                  <c:v>42957.056668113422</c:v>
                </c:pt>
                <c:pt idx="66">
                  <c:v>42964.056668113422</c:v>
                </c:pt>
                <c:pt idx="67">
                  <c:v>42971.056668113422</c:v>
                </c:pt>
                <c:pt idx="68">
                  <c:v>42978.056668113422</c:v>
                </c:pt>
                <c:pt idx="69">
                  <c:v>42985.056668113422</c:v>
                </c:pt>
                <c:pt idx="70">
                  <c:v>42992.056668113422</c:v>
                </c:pt>
                <c:pt idx="71">
                  <c:v>42999.056668113422</c:v>
                </c:pt>
                <c:pt idx="72">
                  <c:v>43006.056668113422</c:v>
                </c:pt>
                <c:pt idx="73">
                  <c:v>43013.056668113422</c:v>
                </c:pt>
                <c:pt idx="74">
                  <c:v>43020.056668113422</c:v>
                </c:pt>
                <c:pt idx="75">
                  <c:v>43027.056668113422</c:v>
                </c:pt>
                <c:pt idx="76">
                  <c:v>43034.056668113422</c:v>
                </c:pt>
                <c:pt idx="77">
                  <c:v>43041.056668113422</c:v>
                </c:pt>
                <c:pt idx="78">
                  <c:v>43048.056668113422</c:v>
                </c:pt>
                <c:pt idx="79">
                  <c:v>43055.056668113422</c:v>
                </c:pt>
                <c:pt idx="80">
                  <c:v>43062.056668113422</c:v>
                </c:pt>
                <c:pt idx="81">
                  <c:v>43069.056668113422</c:v>
                </c:pt>
                <c:pt idx="82">
                  <c:v>43076.056668113422</c:v>
                </c:pt>
                <c:pt idx="83">
                  <c:v>43083.056668113422</c:v>
                </c:pt>
                <c:pt idx="84">
                  <c:v>43104.056668113422</c:v>
                </c:pt>
                <c:pt idx="85">
                  <c:v>43111.056668113422</c:v>
                </c:pt>
                <c:pt idx="86">
                  <c:v>43118.056668113422</c:v>
                </c:pt>
                <c:pt idx="87">
                  <c:v>43125.056668113422</c:v>
                </c:pt>
                <c:pt idx="88">
                  <c:v>43132.056668113422</c:v>
                </c:pt>
                <c:pt idx="89">
                  <c:v>43139.056668113422</c:v>
                </c:pt>
                <c:pt idx="90">
                  <c:v>43153.056668113422</c:v>
                </c:pt>
                <c:pt idx="91">
                  <c:v>43160.056668113422</c:v>
                </c:pt>
                <c:pt idx="92">
                  <c:v>43167.056668113422</c:v>
                </c:pt>
                <c:pt idx="93">
                  <c:v>43174.056668113422</c:v>
                </c:pt>
                <c:pt idx="94">
                  <c:v>43181.056668113422</c:v>
                </c:pt>
                <c:pt idx="95">
                  <c:v>43188.056668113422</c:v>
                </c:pt>
                <c:pt idx="96">
                  <c:v>43195.056668113422</c:v>
                </c:pt>
                <c:pt idx="97">
                  <c:v>43202.056668113422</c:v>
                </c:pt>
                <c:pt idx="98">
                  <c:v>43209.056668113422</c:v>
                </c:pt>
                <c:pt idx="99">
                  <c:v>43216.056668113422</c:v>
                </c:pt>
                <c:pt idx="100">
                  <c:v>43237.056668113422</c:v>
                </c:pt>
                <c:pt idx="101">
                  <c:v>43244.056668113422</c:v>
                </c:pt>
                <c:pt idx="102">
                  <c:v>43251.056668113422</c:v>
                </c:pt>
                <c:pt idx="103">
                  <c:v>43258.056668113422</c:v>
                </c:pt>
                <c:pt idx="104">
                  <c:v>43265.056668113422</c:v>
                </c:pt>
                <c:pt idx="105">
                  <c:v>43272.056668113422</c:v>
                </c:pt>
                <c:pt idx="106">
                  <c:v>43279.056668113422</c:v>
                </c:pt>
                <c:pt idx="107">
                  <c:v>43286.056668113422</c:v>
                </c:pt>
                <c:pt idx="108">
                  <c:v>43293.056668113422</c:v>
                </c:pt>
                <c:pt idx="109">
                  <c:v>43300.056668113422</c:v>
                </c:pt>
                <c:pt idx="110">
                  <c:v>43307.056668113422</c:v>
                </c:pt>
                <c:pt idx="111">
                  <c:v>43321.056668113422</c:v>
                </c:pt>
                <c:pt idx="112">
                  <c:v>43335.056668113422</c:v>
                </c:pt>
                <c:pt idx="113">
                  <c:v>43363.056668113422</c:v>
                </c:pt>
                <c:pt idx="114">
                  <c:v>43370.056668113422</c:v>
                </c:pt>
                <c:pt idx="115">
                  <c:v>43398.056668113422</c:v>
                </c:pt>
                <c:pt idx="116">
                  <c:v>43412.056668113422</c:v>
                </c:pt>
                <c:pt idx="117">
                  <c:v>43419.056668113422</c:v>
                </c:pt>
                <c:pt idx="118">
                  <c:v>43426.056668113422</c:v>
                </c:pt>
                <c:pt idx="119">
                  <c:v>43433.056668113422</c:v>
                </c:pt>
                <c:pt idx="120">
                  <c:v>43447.056668113422</c:v>
                </c:pt>
                <c:pt idx="121">
                  <c:v>43489.056668113422</c:v>
                </c:pt>
                <c:pt idx="122">
                  <c:v>43503.056668113422</c:v>
                </c:pt>
                <c:pt idx="123">
                  <c:v>43510.056668113422</c:v>
                </c:pt>
                <c:pt idx="124">
                  <c:v>43524.056668113422</c:v>
                </c:pt>
                <c:pt idx="125">
                  <c:v>43552.056668113422</c:v>
                </c:pt>
                <c:pt idx="126">
                  <c:v>43559.056668113422</c:v>
                </c:pt>
                <c:pt idx="127">
                  <c:v>43566.056668113422</c:v>
                </c:pt>
                <c:pt idx="128">
                  <c:v>43601.056668113422</c:v>
                </c:pt>
                <c:pt idx="129">
                  <c:v>43615.056668113422</c:v>
                </c:pt>
                <c:pt idx="130">
                  <c:v>43636.056668113422</c:v>
                </c:pt>
                <c:pt idx="131">
                  <c:v>43643.056668113422</c:v>
                </c:pt>
                <c:pt idx="132">
                  <c:v>43657.056668113422</c:v>
                </c:pt>
                <c:pt idx="133">
                  <c:v>43664.056668113422</c:v>
                </c:pt>
                <c:pt idx="134">
                  <c:v>43692.056668113422</c:v>
                </c:pt>
                <c:pt idx="135">
                  <c:v>43741.056668113422</c:v>
                </c:pt>
                <c:pt idx="136">
                  <c:v>43755.056668113422</c:v>
                </c:pt>
                <c:pt idx="137">
                  <c:v>43769.056668113422</c:v>
                </c:pt>
                <c:pt idx="138">
                  <c:v>43853.056668113422</c:v>
                </c:pt>
                <c:pt idx="139">
                  <c:v>43951.056668113422</c:v>
                </c:pt>
                <c:pt idx="140">
                  <c:v>43965.056668113422</c:v>
                </c:pt>
              </c:numCache>
            </c:numRef>
          </c:cat>
          <c:val>
            <c:numRef>
              <c:f>'Top 1000'!$C$2:$C$142</c:f>
              <c:numCache>
                <c:formatCode>General</c:formatCode>
                <c:ptCount val="141"/>
                <c:pt idx="0">
                  <c:v>1</c:v>
                </c:pt>
                <c:pt idx="1">
                  <c:v>3</c:v>
                </c:pt>
                <c:pt idx="2">
                  <c:v>40</c:v>
                </c:pt>
                <c:pt idx="3">
                  <c:v>68</c:v>
                </c:pt>
                <c:pt idx="4">
                  <c:v>96</c:v>
                </c:pt>
                <c:pt idx="5">
                  <c:v>107</c:v>
                </c:pt>
                <c:pt idx="6">
                  <c:v>111</c:v>
                </c:pt>
                <c:pt idx="7">
                  <c:v>122</c:v>
                </c:pt>
                <c:pt idx="8">
                  <c:v>143</c:v>
                </c:pt>
                <c:pt idx="9">
                  <c:v>196</c:v>
                </c:pt>
                <c:pt idx="10">
                  <c:v>208</c:v>
                </c:pt>
                <c:pt idx="11">
                  <c:v>218</c:v>
                </c:pt>
                <c:pt idx="12">
                  <c:v>226</c:v>
                </c:pt>
                <c:pt idx="13">
                  <c:v>239</c:v>
                </c:pt>
                <c:pt idx="14">
                  <c:v>262</c:v>
                </c:pt>
                <c:pt idx="15">
                  <c:v>267</c:v>
                </c:pt>
                <c:pt idx="16">
                  <c:v>276</c:v>
                </c:pt>
                <c:pt idx="17">
                  <c:v>282</c:v>
                </c:pt>
                <c:pt idx="18">
                  <c:v>295</c:v>
                </c:pt>
                <c:pt idx="19">
                  <c:v>303</c:v>
                </c:pt>
                <c:pt idx="20">
                  <c:v>307</c:v>
                </c:pt>
                <c:pt idx="21">
                  <c:v>313</c:v>
                </c:pt>
                <c:pt idx="22">
                  <c:v>318</c:v>
                </c:pt>
                <c:pt idx="23">
                  <c:v>323</c:v>
                </c:pt>
                <c:pt idx="24">
                  <c:v>325</c:v>
                </c:pt>
                <c:pt idx="25">
                  <c:v>332</c:v>
                </c:pt>
                <c:pt idx="26">
                  <c:v>334</c:v>
                </c:pt>
                <c:pt idx="27">
                  <c:v>340</c:v>
                </c:pt>
                <c:pt idx="28">
                  <c:v>342</c:v>
                </c:pt>
                <c:pt idx="29">
                  <c:v>348</c:v>
                </c:pt>
                <c:pt idx="30">
                  <c:v>352</c:v>
                </c:pt>
                <c:pt idx="31">
                  <c:v>363</c:v>
                </c:pt>
                <c:pt idx="32">
                  <c:v>370</c:v>
                </c:pt>
                <c:pt idx="33">
                  <c:v>376</c:v>
                </c:pt>
                <c:pt idx="34">
                  <c:v>377</c:v>
                </c:pt>
                <c:pt idx="35">
                  <c:v>381</c:v>
                </c:pt>
                <c:pt idx="36">
                  <c:v>385</c:v>
                </c:pt>
                <c:pt idx="37">
                  <c:v>389</c:v>
                </c:pt>
                <c:pt idx="38">
                  <c:v>395</c:v>
                </c:pt>
                <c:pt idx="39">
                  <c:v>397</c:v>
                </c:pt>
                <c:pt idx="40">
                  <c:v>405</c:v>
                </c:pt>
                <c:pt idx="41">
                  <c:v>406</c:v>
                </c:pt>
                <c:pt idx="42">
                  <c:v>407</c:v>
                </c:pt>
                <c:pt idx="43">
                  <c:v>413</c:v>
                </c:pt>
                <c:pt idx="44">
                  <c:v>414</c:v>
                </c:pt>
                <c:pt idx="45">
                  <c:v>420</c:v>
                </c:pt>
                <c:pt idx="46">
                  <c:v>427</c:v>
                </c:pt>
                <c:pt idx="47">
                  <c:v>428</c:v>
                </c:pt>
                <c:pt idx="48">
                  <c:v>445</c:v>
                </c:pt>
                <c:pt idx="49">
                  <c:v>446</c:v>
                </c:pt>
                <c:pt idx="50">
                  <c:v>448</c:v>
                </c:pt>
                <c:pt idx="51">
                  <c:v>455</c:v>
                </c:pt>
                <c:pt idx="52">
                  <c:v>458</c:v>
                </c:pt>
                <c:pt idx="53">
                  <c:v>466</c:v>
                </c:pt>
                <c:pt idx="54">
                  <c:v>469</c:v>
                </c:pt>
                <c:pt idx="55">
                  <c:v>472</c:v>
                </c:pt>
                <c:pt idx="56">
                  <c:v>480</c:v>
                </c:pt>
                <c:pt idx="57">
                  <c:v>484</c:v>
                </c:pt>
                <c:pt idx="58">
                  <c:v>491</c:v>
                </c:pt>
                <c:pt idx="59">
                  <c:v>499</c:v>
                </c:pt>
                <c:pt idx="60">
                  <c:v>504</c:v>
                </c:pt>
                <c:pt idx="61">
                  <c:v>506</c:v>
                </c:pt>
                <c:pt idx="62">
                  <c:v>513</c:v>
                </c:pt>
                <c:pt idx="63">
                  <c:v>514</c:v>
                </c:pt>
                <c:pt idx="64">
                  <c:v>515</c:v>
                </c:pt>
                <c:pt idx="65">
                  <c:v>520</c:v>
                </c:pt>
                <c:pt idx="66">
                  <c:v>523</c:v>
                </c:pt>
                <c:pt idx="67">
                  <c:v>524</c:v>
                </c:pt>
                <c:pt idx="68">
                  <c:v>528</c:v>
                </c:pt>
                <c:pt idx="69">
                  <c:v>538</c:v>
                </c:pt>
                <c:pt idx="70">
                  <c:v>542</c:v>
                </c:pt>
                <c:pt idx="71">
                  <c:v>552</c:v>
                </c:pt>
                <c:pt idx="72">
                  <c:v>555</c:v>
                </c:pt>
                <c:pt idx="73">
                  <c:v>586</c:v>
                </c:pt>
                <c:pt idx="74">
                  <c:v>596</c:v>
                </c:pt>
                <c:pt idx="75">
                  <c:v>603</c:v>
                </c:pt>
                <c:pt idx="76">
                  <c:v>604</c:v>
                </c:pt>
                <c:pt idx="77">
                  <c:v>607</c:v>
                </c:pt>
                <c:pt idx="78">
                  <c:v>609</c:v>
                </c:pt>
                <c:pt idx="79">
                  <c:v>610</c:v>
                </c:pt>
                <c:pt idx="80">
                  <c:v>612</c:v>
                </c:pt>
                <c:pt idx="81">
                  <c:v>614</c:v>
                </c:pt>
                <c:pt idx="82">
                  <c:v>624</c:v>
                </c:pt>
                <c:pt idx="83">
                  <c:v>630</c:v>
                </c:pt>
                <c:pt idx="84">
                  <c:v>631</c:v>
                </c:pt>
                <c:pt idx="85">
                  <c:v>633</c:v>
                </c:pt>
                <c:pt idx="86">
                  <c:v>636</c:v>
                </c:pt>
                <c:pt idx="87">
                  <c:v>639</c:v>
                </c:pt>
                <c:pt idx="88">
                  <c:v>644</c:v>
                </c:pt>
                <c:pt idx="89">
                  <c:v>647</c:v>
                </c:pt>
                <c:pt idx="90">
                  <c:v>649</c:v>
                </c:pt>
                <c:pt idx="91">
                  <c:v>652</c:v>
                </c:pt>
                <c:pt idx="92">
                  <c:v>656</c:v>
                </c:pt>
                <c:pt idx="93">
                  <c:v>659</c:v>
                </c:pt>
                <c:pt idx="94">
                  <c:v>663</c:v>
                </c:pt>
                <c:pt idx="95">
                  <c:v>668</c:v>
                </c:pt>
                <c:pt idx="96">
                  <c:v>669</c:v>
                </c:pt>
                <c:pt idx="97">
                  <c:v>687</c:v>
                </c:pt>
                <c:pt idx="98">
                  <c:v>689</c:v>
                </c:pt>
                <c:pt idx="99">
                  <c:v>690</c:v>
                </c:pt>
                <c:pt idx="100">
                  <c:v>693</c:v>
                </c:pt>
                <c:pt idx="101">
                  <c:v>694</c:v>
                </c:pt>
                <c:pt idx="102">
                  <c:v>695</c:v>
                </c:pt>
                <c:pt idx="103">
                  <c:v>696</c:v>
                </c:pt>
                <c:pt idx="104">
                  <c:v>700</c:v>
                </c:pt>
                <c:pt idx="105">
                  <c:v>702</c:v>
                </c:pt>
                <c:pt idx="106">
                  <c:v>706</c:v>
                </c:pt>
                <c:pt idx="107">
                  <c:v>708</c:v>
                </c:pt>
                <c:pt idx="108">
                  <c:v>712</c:v>
                </c:pt>
                <c:pt idx="109">
                  <c:v>713</c:v>
                </c:pt>
                <c:pt idx="110">
                  <c:v>715</c:v>
                </c:pt>
                <c:pt idx="111">
                  <c:v>718</c:v>
                </c:pt>
                <c:pt idx="112">
                  <c:v>720</c:v>
                </c:pt>
                <c:pt idx="113">
                  <c:v>721</c:v>
                </c:pt>
                <c:pt idx="114">
                  <c:v>722</c:v>
                </c:pt>
                <c:pt idx="115">
                  <c:v>728</c:v>
                </c:pt>
                <c:pt idx="116">
                  <c:v>734</c:v>
                </c:pt>
                <c:pt idx="117">
                  <c:v>736</c:v>
                </c:pt>
                <c:pt idx="118">
                  <c:v>737</c:v>
                </c:pt>
                <c:pt idx="119">
                  <c:v>738</c:v>
                </c:pt>
                <c:pt idx="120">
                  <c:v>741</c:v>
                </c:pt>
                <c:pt idx="121">
                  <c:v>742</c:v>
                </c:pt>
                <c:pt idx="122">
                  <c:v>743</c:v>
                </c:pt>
                <c:pt idx="123">
                  <c:v>744</c:v>
                </c:pt>
                <c:pt idx="124">
                  <c:v>745</c:v>
                </c:pt>
                <c:pt idx="125">
                  <c:v>746</c:v>
                </c:pt>
                <c:pt idx="126">
                  <c:v>747</c:v>
                </c:pt>
                <c:pt idx="127">
                  <c:v>748</c:v>
                </c:pt>
                <c:pt idx="128">
                  <c:v>749</c:v>
                </c:pt>
                <c:pt idx="129">
                  <c:v>752</c:v>
                </c:pt>
                <c:pt idx="130">
                  <c:v>753</c:v>
                </c:pt>
                <c:pt idx="131">
                  <c:v>755</c:v>
                </c:pt>
                <c:pt idx="132">
                  <c:v>756</c:v>
                </c:pt>
                <c:pt idx="133">
                  <c:v>758</c:v>
                </c:pt>
                <c:pt idx="134">
                  <c:v>759</c:v>
                </c:pt>
                <c:pt idx="135">
                  <c:v>760</c:v>
                </c:pt>
                <c:pt idx="136">
                  <c:v>761</c:v>
                </c:pt>
                <c:pt idx="137">
                  <c:v>763</c:v>
                </c:pt>
                <c:pt idx="138">
                  <c:v>766</c:v>
                </c:pt>
                <c:pt idx="139">
                  <c:v>767</c:v>
                </c:pt>
                <c:pt idx="140">
                  <c:v>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1-4DD5-BD8D-B54C33737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505440"/>
        <c:axId val="1981499136"/>
      </c:lineChart>
      <c:dateAx>
        <c:axId val="685505440"/>
        <c:scaling>
          <c:orientation val="minMax"/>
        </c:scaling>
        <c:delete val="0"/>
        <c:axPos val="b"/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499136"/>
        <c:crosses val="autoZero"/>
        <c:auto val="1"/>
        <c:lblOffset val="100"/>
        <c:baseTimeUnit val="days"/>
        <c:majorUnit val="4"/>
        <c:majorTimeUnit val="months"/>
      </c:dateAx>
      <c:valAx>
        <c:axId val="19814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;\-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50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/>
              <a:t>#Packages supporting .NET Standard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All!$C$1</c:f>
              <c:strCache>
                <c:ptCount val="1"/>
                <c:pt idx="0">
                  <c:v>ConvertedPackagesCumulative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All!$A$2:$A$228</c:f>
              <c:numCache>
                <c:formatCode>m/d/yyyy</c:formatCode>
                <c:ptCount val="227"/>
                <c:pt idx="0">
                  <c:v>42411.06235443287</c:v>
                </c:pt>
                <c:pt idx="1">
                  <c:v>42425.06235443287</c:v>
                </c:pt>
                <c:pt idx="2">
                  <c:v>42432.06235443287</c:v>
                </c:pt>
                <c:pt idx="3">
                  <c:v>42446.06235443287</c:v>
                </c:pt>
                <c:pt idx="4">
                  <c:v>42453.06235443287</c:v>
                </c:pt>
                <c:pt idx="5">
                  <c:v>42460.06235443287</c:v>
                </c:pt>
                <c:pt idx="6">
                  <c:v>42467.06235443287</c:v>
                </c:pt>
                <c:pt idx="7">
                  <c:v>42474.06235443287</c:v>
                </c:pt>
                <c:pt idx="8">
                  <c:v>42481.06235443287</c:v>
                </c:pt>
                <c:pt idx="9">
                  <c:v>42488.06235443287</c:v>
                </c:pt>
                <c:pt idx="10">
                  <c:v>42495.06235443287</c:v>
                </c:pt>
                <c:pt idx="11">
                  <c:v>42502.06235443287</c:v>
                </c:pt>
                <c:pt idx="12">
                  <c:v>42509.06235443287</c:v>
                </c:pt>
                <c:pt idx="13">
                  <c:v>42516.06235443287</c:v>
                </c:pt>
                <c:pt idx="14">
                  <c:v>42523.06235443287</c:v>
                </c:pt>
                <c:pt idx="15">
                  <c:v>42530.06235443287</c:v>
                </c:pt>
                <c:pt idx="16">
                  <c:v>42537.06235443287</c:v>
                </c:pt>
                <c:pt idx="17">
                  <c:v>42544.06235443287</c:v>
                </c:pt>
                <c:pt idx="18">
                  <c:v>42551.06235443287</c:v>
                </c:pt>
                <c:pt idx="19">
                  <c:v>42558.06235443287</c:v>
                </c:pt>
                <c:pt idx="20">
                  <c:v>42565.06235443287</c:v>
                </c:pt>
                <c:pt idx="21">
                  <c:v>42572.06235443287</c:v>
                </c:pt>
                <c:pt idx="22">
                  <c:v>42579.06235443287</c:v>
                </c:pt>
                <c:pt idx="23">
                  <c:v>42586.06235443287</c:v>
                </c:pt>
                <c:pt idx="24">
                  <c:v>42593.06235443287</c:v>
                </c:pt>
                <c:pt idx="25">
                  <c:v>42600.06235443287</c:v>
                </c:pt>
                <c:pt idx="26">
                  <c:v>42607.06235443287</c:v>
                </c:pt>
                <c:pt idx="27">
                  <c:v>42614.06235443287</c:v>
                </c:pt>
                <c:pt idx="28">
                  <c:v>42621.06235443287</c:v>
                </c:pt>
                <c:pt idx="29">
                  <c:v>42628.06235443287</c:v>
                </c:pt>
                <c:pt idx="30">
                  <c:v>42635.06235443287</c:v>
                </c:pt>
                <c:pt idx="31">
                  <c:v>42642.06235443287</c:v>
                </c:pt>
                <c:pt idx="32">
                  <c:v>42649.06235443287</c:v>
                </c:pt>
                <c:pt idx="33">
                  <c:v>42656.06235443287</c:v>
                </c:pt>
                <c:pt idx="34">
                  <c:v>42663.06235443287</c:v>
                </c:pt>
                <c:pt idx="35">
                  <c:v>42670.06235443287</c:v>
                </c:pt>
                <c:pt idx="36">
                  <c:v>42677.06235443287</c:v>
                </c:pt>
                <c:pt idx="37">
                  <c:v>42684.06235443287</c:v>
                </c:pt>
                <c:pt idx="38">
                  <c:v>42691.06235443287</c:v>
                </c:pt>
                <c:pt idx="39">
                  <c:v>42698.06235443287</c:v>
                </c:pt>
                <c:pt idx="40">
                  <c:v>42705.06235443287</c:v>
                </c:pt>
                <c:pt idx="41">
                  <c:v>42712.06235443287</c:v>
                </c:pt>
                <c:pt idx="42">
                  <c:v>42719.06235443287</c:v>
                </c:pt>
                <c:pt idx="43">
                  <c:v>42726.06235443287</c:v>
                </c:pt>
                <c:pt idx="44">
                  <c:v>42733.06235443287</c:v>
                </c:pt>
                <c:pt idx="45">
                  <c:v>42740.06235443287</c:v>
                </c:pt>
                <c:pt idx="46">
                  <c:v>42747.06235443287</c:v>
                </c:pt>
                <c:pt idx="47">
                  <c:v>42754.06235443287</c:v>
                </c:pt>
                <c:pt idx="48">
                  <c:v>42761.06235443287</c:v>
                </c:pt>
                <c:pt idx="49">
                  <c:v>42768.06235443287</c:v>
                </c:pt>
                <c:pt idx="50">
                  <c:v>42775.06235443287</c:v>
                </c:pt>
                <c:pt idx="51">
                  <c:v>42782.06235443287</c:v>
                </c:pt>
                <c:pt idx="52">
                  <c:v>42789.06235443287</c:v>
                </c:pt>
                <c:pt idx="53">
                  <c:v>42796.06235443287</c:v>
                </c:pt>
                <c:pt idx="54">
                  <c:v>42803.06235443287</c:v>
                </c:pt>
                <c:pt idx="55">
                  <c:v>42810.06235443287</c:v>
                </c:pt>
                <c:pt idx="56">
                  <c:v>42817.06235443287</c:v>
                </c:pt>
                <c:pt idx="57">
                  <c:v>42824.06235443287</c:v>
                </c:pt>
                <c:pt idx="58">
                  <c:v>42831.06235443287</c:v>
                </c:pt>
                <c:pt idx="59">
                  <c:v>42838.06235443287</c:v>
                </c:pt>
                <c:pt idx="60">
                  <c:v>42845.06235443287</c:v>
                </c:pt>
                <c:pt idx="61">
                  <c:v>42852.06235443287</c:v>
                </c:pt>
                <c:pt idx="62">
                  <c:v>42859.06235443287</c:v>
                </c:pt>
                <c:pt idx="63">
                  <c:v>42866.06235443287</c:v>
                </c:pt>
                <c:pt idx="64">
                  <c:v>42873.06235443287</c:v>
                </c:pt>
                <c:pt idx="65">
                  <c:v>42880.06235443287</c:v>
                </c:pt>
                <c:pt idx="66">
                  <c:v>42887.06235443287</c:v>
                </c:pt>
                <c:pt idx="67">
                  <c:v>42894.06235443287</c:v>
                </c:pt>
                <c:pt idx="68">
                  <c:v>42901.06235443287</c:v>
                </c:pt>
                <c:pt idx="69">
                  <c:v>42908.06235443287</c:v>
                </c:pt>
                <c:pt idx="70">
                  <c:v>42915.06235443287</c:v>
                </c:pt>
                <c:pt idx="71">
                  <c:v>42922.06235443287</c:v>
                </c:pt>
                <c:pt idx="72">
                  <c:v>42929.06235443287</c:v>
                </c:pt>
                <c:pt idx="73">
                  <c:v>42936.06235443287</c:v>
                </c:pt>
                <c:pt idx="74">
                  <c:v>42943.06235443287</c:v>
                </c:pt>
                <c:pt idx="75">
                  <c:v>42950.06235443287</c:v>
                </c:pt>
                <c:pt idx="76">
                  <c:v>42957.06235443287</c:v>
                </c:pt>
                <c:pt idx="77">
                  <c:v>42964.06235443287</c:v>
                </c:pt>
                <c:pt idx="78">
                  <c:v>42971.06235443287</c:v>
                </c:pt>
                <c:pt idx="79">
                  <c:v>42978.06235443287</c:v>
                </c:pt>
                <c:pt idx="80">
                  <c:v>42985.06235443287</c:v>
                </c:pt>
                <c:pt idx="81">
                  <c:v>42992.06235443287</c:v>
                </c:pt>
                <c:pt idx="82">
                  <c:v>42999.06235443287</c:v>
                </c:pt>
                <c:pt idx="83">
                  <c:v>43006.06235443287</c:v>
                </c:pt>
                <c:pt idx="84">
                  <c:v>43013.06235443287</c:v>
                </c:pt>
                <c:pt idx="85">
                  <c:v>43020.06235443287</c:v>
                </c:pt>
                <c:pt idx="86">
                  <c:v>43027.06235443287</c:v>
                </c:pt>
                <c:pt idx="87">
                  <c:v>43034.06235443287</c:v>
                </c:pt>
                <c:pt idx="88">
                  <c:v>43041.06235443287</c:v>
                </c:pt>
                <c:pt idx="89">
                  <c:v>43048.06235443287</c:v>
                </c:pt>
                <c:pt idx="90">
                  <c:v>43055.06235443287</c:v>
                </c:pt>
                <c:pt idx="91">
                  <c:v>43062.06235443287</c:v>
                </c:pt>
                <c:pt idx="92">
                  <c:v>43069.06235443287</c:v>
                </c:pt>
                <c:pt idx="93">
                  <c:v>43076.06235443287</c:v>
                </c:pt>
                <c:pt idx="94">
                  <c:v>43083.06235443287</c:v>
                </c:pt>
                <c:pt idx="95">
                  <c:v>43090.06235443287</c:v>
                </c:pt>
                <c:pt idx="96">
                  <c:v>43097.06235443287</c:v>
                </c:pt>
                <c:pt idx="97">
                  <c:v>43104.06235443287</c:v>
                </c:pt>
                <c:pt idx="98">
                  <c:v>43111.06235443287</c:v>
                </c:pt>
                <c:pt idx="99">
                  <c:v>43118.06235443287</c:v>
                </c:pt>
                <c:pt idx="100">
                  <c:v>43125.06235443287</c:v>
                </c:pt>
                <c:pt idx="101">
                  <c:v>43132.06235443287</c:v>
                </c:pt>
                <c:pt idx="102">
                  <c:v>43139.06235443287</c:v>
                </c:pt>
                <c:pt idx="103">
                  <c:v>43146.06235443287</c:v>
                </c:pt>
                <c:pt idx="104">
                  <c:v>43153.06235443287</c:v>
                </c:pt>
                <c:pt idx="105">
                  <c:v>43160.06235443287</c:v>
                </c:pt>
                <c:pt idx="106">
                  <c:v>43167.06235443287</c:v>
                </c:pt>
                <c:pt idx="107">
                  <c:v>43174.06235443287</c:v>
                </c:pt>
                <c:pt idx="108">
                  <c:v>43181.06235443287</c:v>
                </c:pt>
                <c:pt idx="109">
                  <c:v>43188.06235443287</c:v>
                </c:pt>
                <c:pt idx="110">
                  <c:v>43195.06235443287</c:v>
                </c:pt>
                <c:pt idx="111">
                  <c:v>43202.06235443287</c:v>
                </c:pt>
                <c:pt idx="112">
                  <c:v>43209.06235443287</c:v>
                </c:pt>
                <c:pt idx="113">
                  <c:v>43216.06235443287</c:v>
                </c:pt>
                <c:pt idx="114">
                  <c:v>43223.06235443287</c:v>
                </c:pt>
                <c:pt idx="115">
                  <c:v>43230.06235443287</c:v>
                </c:pt>
                <c:pt idx="116">
                  <c:v>43237.06235443287</c:v>
                </c:pt>
                <c:pt idx="117">
                  <c:v>43244.06235443287</c:v>
                </c:pt>
                <c:pt idx="118">
                  <c:v>43251.06235443287</c:v>
                </c:pt>
                <c:pt idx="119">
                  <c:v>43258.06235443287</c:v>
                </c:pt>
                <c:pt idx="120">
                  <c:v>43265.06235443287</c:v>
                </c:pt>
                <c:pt idx="121">
                  <c:v>43272.06235443287</c:v>
                </c:pt>
                <c:pt idx="122">
                  <c:v>43279.06235443287</c:v>
                </c:pt>
                <c:pt idx="123">
                  <c:v>43286.06235443287</c:v>
                </c:pt>
                <c:pt idx="124">
                  <c:v>43293.06235443287</c:v>
                </c:pt>
                <c:pt idx="125">
                  <c:v>43300.06235443287</c:v>
                </c:pt>
                <c:pt idx="126">
                  <c:v>43307.06235443287</c:v>
                </c:pt>
                <c:pt idx="127">
                  <c:v>43314.06235443287</c:v>
                </c:pt>
                <c:pt idx="128">
                  <c:v>43321.06235443287</c:v>
                </c:pt>
                <c:pt idx="129">
                  <c:v>43328.06235443287</c:v>
                </c:pt>
                <c:pt idx="130">
                  <c:v>43335.06235443287</c:v>
                </c:pt>
                <c:pt idx="131">
                  <c:v>43342.06235443287</c:v>
                </c:pt>
                <c:pt idx="132">
                  <c:v>43349.06235443287</c:v>
                </c:pt>
                <c:pt idx="133">
                  <c:v>43356.06235443287</c:v>
                </c:pt>
                <c:pt idx="134">
                  <c:v>43363.06235443287</c:v>
                </c:pt>
                <c:pt idx="135">
                  <c:v>43370.06235443287</c:v>
                </c:pt>
                <c:pt idx="136">
                  <c:v>43377.06235443287</c:v>
                </c:pt>
                <c:pt idx="137">
                  <c:v>43384.06235443287</c:v>
                </c:pt>
                <c:pt idx="138">
                  <c:v>43391.06235443287</c:v>
                </c:pt>
                <c:pt idx="139">
                  <c:v>43398.06235443287</c:v>
                </c:pt>
                <c:pt idx="140">
                  <c:v>43405.06235443287</c:v>
                </c:pt>
                <c:pt idx="141">
                  <c:v>43412.06235443287</c:v>
                </c:pt>
                <c:pt idx="142">
                  <c:v>43419.06235443287</c:v>
                </c:pt>
                <c:pt idx="143">
                  <c:v>43426.06235443287</c:v>
                </c:pt>
                <c:pt idx="144">
                  <c:v>43433.06235443287</c:v>
                </c:pt>
                <c:pt idx="145">
                  <c:v>43440.06235443287</c:v>
                </c:pt>
                <c:pt idx="146">
                  <c:v>43447.06235443287</c:v>
                </c:pt>
                <c:pt idx="147">
                  <c:v>43454.06235443287</c:v>
                </c:pt>
                <c:pt idx="148">
                  <c:v>43461.06235443287</c:v>
                </c:pt>
                <c:pt idx="149">
                  <c:v>43468.06235443287</c:v>
                </c:pt>
                <c:pt idx="150">
                  <c:v>43475.06235443287</c:v>
                </c:pt>
                <c:pt idx="151">
                  <c:v>43482.06235443287</c:v>
                </c:pt>
                <c:pt idx="152">
                  <c:v>43489.06235443287</c:v>
                </c:pt>
                <c:pt idx="153">
                  <c:v>43496.06235443287</c:v>
                </c:pt>
                <c:pt idx="154">
                  <c:v>43503.06235443287</c:v>
                </c:pt>
                <c:pt idx="155">
                  <c:v>43510.06235443287</c:v>
                </c:pt>
                <c:pt idx="156">
                  <c:v>43517.06235443287</c:v>
                </c:pt>
                <c:pt idx="157">
                  <c:v>43524.06235443287</c:v>
                </c:pt>
                <c:pt idx="158">
                  <c:v>43531.06235443287</c:v>
                </c:pt>
                <c:pt idx="159">
                  <c:v>43538.06235443287</c:v>
                </c:pt>
                <c:pt idx="160">
                  <c:v>43545.06235443287</c:v>
                </c:pt>
                <c:pt idx="161">
                  <c:v>43552.06235443287</c:v>
                </c:pt>
                <c:pt idx="162">
                  <c:v>43559.06235443287</c:v>
                </c:pt>
                <c:pt idx="163">
                  <c:v>43566.06235443287</c:v>
                </c:pt>
                <c:pt idx="164">
                  <c:v>43573.06235443287</c:v>
                </c:pt>
                <c:pt idx="165">
                  <c:v>43580.06235443287</c:v>
                </c:pt>
                <c:pt idx="166">
                  <c:v>43587.06235443287</c:v>
                </c:pt>
                <c:pt idx="167">
                  <c:v>43594.06235443287</c:v>
                </c:pt>
                <c:pt idx="168">
                  <c:v>43601.06235443287</c:v>
                </c:pt>
                <c:pt idx="169">
                  <c:v>43608.06235443287</c:v>
                </c:pt>
                <c:pt idx="170">
                  <c:v>43615.06235443287</c:v>
                </c:pt>
                <c:pt idx="171">
                  <c:v>43622.06235443287</c:v>
                </c:pt>
                <c:pt idx="172">
                  <c:v>43629.06235443287</c:v>
                </c:pt>
                <c:pt idx="173">
                  <c:v>43636.06235443287</c:v>
                </c:pt>
                <c:pt idx="174">
                  <c:v>43643.06235443287</c:v>
                </c:pt>
                <c:pt idx="175">
                  <c:v>43650.06235443287</c:v>
                </c:pt>
                <c:pt idx="176">
                  <c:v>43657.06235443287</c:v>
                </c:pt>
                <c:pt idx="177">
                  <c:v>43664.06235443287</c:v>
                </c:pt>
                <c:pt idx="178">
                  <c:v>43671.06235443287</c:v>
                </c:pt>
                <c:pt idx="179">
                  <c:v>43678.06235443287</c:v>
                </c:pt>
                <c:pt idx="180">
                  <c:v>43685.06235443287</c:v>
                </c:pt>
                <c:pt idx="181">
                  <c:v>43692.06235443287</c:v>
                </c:pt>
                <c:pt idx="182">
                  <c:v>43699.06235443287</c:v>
                </c:pt>
                <c:pt idx="183">
                  <c:v>43706.06235443287</c:v>
                </c:pt>
                <c:pt idx="184">
                  <c:v>43713.06235443287</c:v>
                </c:pt>
                <c:pt idx="185">
                  <c:v>43720.06235443287</c:v>
                </c:pt>
                <c:pt idx="186">
                  <c:v>43727.06235443287</c:v>
                </c:pt>
                <c:pt idx="187">
                  <c:v>43734.06235443287</c:v>
                </c:pt>
                <c:pt idx="188">
                  <c:v>43741.06235443287</c:v>
                </c:pt>
                <c:pt idx="189">
                  <c:v>43748.06235443287</c:v>
                </c:pt>
                <c:pt idx="190">
                  <c:v>43755.06235443287</c:v>
                </c:pt>
                <c:pt idx="191">
                  <c:v>43762.06235443287</c:v>
                </c:pt>
                <c:pt idx="192">
                  <c:v>43769.06235443287</c:v>
                </c:pt>
                <c:pt idx="193">
                  <c:v>43776.06235443287</c:v>
                </c:pt>
                <c:pt idx="194">
                  <c:v>43783.06235443287</c:v>
                </c:pt>
                <c:pt idx="195">
                  <c:v>43790.06235443287</c:v>
                </c:pt>
                <c:pt idx="196">
                  <c:v>43797.06235443287</c:v>
                </c:pt>
                <c:pt idx="197">
                  <c:v>43804.06235443287</c:v>
                </c:pt>
                <c:pt idx="198">
                  <c:v>43811.06235443287</c:v>
                </c:pt>
                <c:pt idx="199">
                  <c:v>43818.06235443287</c:v>
                </c:pt>
                <c:pt idx="200">
                  <c:v>43825.06235443287</c:v>
                </c:pt>
                <c:pt idx="201">
                  <c:v>43832.06235443287</c:v>
                </c:pt>
                <c:pt idx="202">
                  <c:v>43839.06235443287</c:v>
                </c:pt>
                <c:pt idx="203">
                  <c:v>43846.06235443287</c:v>
                </c:pt>
                <c:pt idx="204">
                  <c:v>43853.06235443287</c:v>
                </c:pt>
                <c:pt idx="205">
                  <c:v>43860.06235443287</c:v>
                </c:pt>
                <c:pt idx="206">
                  <c:v>43867.06235443287</c:v>
                </c:pt>
                <c:pt idx="207">
                  <c:v>43874.06235443287</c:v>
                </c:pt>
                <c:pt idx="208">
                  <c:v>43881.06235443287</c:v>
                </c:pt>
                <c:pt idx="209">
                  <c:v>43888.06235443287</c:v>
                </c:pt>
                <c:pt idx="210">
                  <c:v>43895.06235443287</c:v>
                </c:pt>
                <c:pt idx="211">
                  <c:v>43902.06235443287</c:v>
                </c:pt>
                <c:pt idx="212">
                  <c:v>43909.06235443287</c:v>
                </c:pt>
                <c:pt idx="213">
                  <c:v>43916.06235443287</c:v>
                </c:pt>
                <c:pt idx="214">
                  <c:v>43923.06235443287</c:v>
                </c:pt>
                <c:pt idx="215">
                  <c:v>43930.06235443287</c:v>
                </c:pt>
                <c:pt idx="216">
                  <c:v>43937.06235443287</c:v>
                </c:pt>
                <c:pt idx="217">
                  <c:v>43944.06235443287</c:v>
                </c:pt>
                <c:pt idx="218">
                  <c:v>43951.06235443287</c:v>
                </c:pt>
                <c:pt idx="219">
                  <c:v>43958.06235443287</c:v>
                </c:pt>
                <c:pt idx="220">
                  <c:v>43965.06235443287</c:v>
                </c:pt>
                <c:pt idx="221">
                  <c:v>43972.06235443287</c:v>
                </c:pt>
                <c:pt idx="222">
                  <c:v>43979.06235443287</c:v>
                </c:pt>
                <c:pt idx="223">
                  <c:v>43986.06235443287</c:v>
                </c:pt>
                <c:pt idx="224">
                  <c:v>43993.06235443287</c:v>
                </c:pt>
                <c:pt idx="225">
                  <c:v>44000.06235443287</c:v>
                </c:pt>
              </c:numCache>
            </c:numRef>
          </c:cat>
          <c:val>
            <c:numRef>
              <c:f>All!$C$2:$C$228</c:f>
              <c:numCache>
                <c:formatCode>General</c:formatCode>
                <c:ptCount val="227"/>
                <c:pt idx="0">
                  <c:v>1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18</c:v>
                </c:pt>
                <c:pt idx="6">
                  <c:v>23</c:v>
                </c:pt>
                <c:pt idx="7">
                  <c:v>25</c:v>
                </c:pt>
                <c:pt idx="8">
                  <c:v>36</c:v>
                </c:pt>
                <c:pt idx="9">
                  <c:v>37</c:v>
                </c:pt>
                <c:pt idx="10">
                  <c:v>44</c:v>
                </c:pt>
                <c:pt idx="11">
                  <c:v>224</c:v>
                </c:pt>
                <c:pt idx="12">
                  <c:v>424</c:v>
                </c:pt>
                <c:pt idx="13">
                  <c:v>593</c:v>
                </c:pt>
                <c:pt idx="14">
                  <c:v>738</c:v>
                </c:pt>
                <c:pt idx="15">
                  <c:v>833</c:v>
                </c:pt>
                <c:pt idx="16">
                  <c:v>902</c:v>
                </c:pt>
                <c:pt idx="17">
                  <c:v>1034</c:v>
                </c:pt>
                <c:pt idx="18">
                  <c:v>1223</c:v>
                </c:pt>
                <c:pt idx="19">
                  <c:v>1357</c:v>
                </c:pt>
                <c:pt idx="20">
                  <c:v>1467</c:v>
                </c:pt>
                <c:pt idx="21">
                  <c:v>1587</c:v>
                </c:pt>
                <c:pt idx="22">
                  <c:v>1710</c:v>
                </c:pt>
                <c:pt idx="23">
                  <c:v>1960</c:v>
                </c:pt>
                <c:pt idx="24">
                  <c:v>2052</c:v>
                </c:pt>
                <c:pt idx="25">
                  <c:v>2149</c:v>
                </c:pt>
                <c:pt idx="26">
                  <c:v>2256</c:v>
                </c:pt>
                <c:pt idx="27">
                  <c:v>2356</c:v>
                </c:pt>
                <c:pt idx="28">
                  <c:v>2443</c:v>
                </c:pt>
                <c:pt idx="29">
                  <c:v>2528</c:v>
                </c:pt>
                <c:pt idx="30">
                  <c:v>2654</c:v>
                </c:pt>
                <c:pt idx="31">
                  <c:v>2745</c:v>
                </c:pt>
                <c:pt idx="32">
                  <c:v>2891</c:v>
                </c:pt>
                <c:pt idx="33">
                  <c:v>2983</c:v>
                </c:pt>
                <c:pt idx="34">
                  <c:v>3139</c:v>
                </c:pt>
                <c:pt idx="35">
                  <c:v>3302</c:v>
                </c:pt>
                <c:pt idx="36">
                  <c:v>3445</c:v>
                </c:pt>
                <c:pt idx="37">
                  <c:v>3632</c:v>
                </c:pt>
                <c:pt idx="38">
                  <c:v>3841</c:v>
                </c:pt>
                <c:pt idx="39">
                  <c:v>3959</c:v>
                </c:pt>
                <c:pt idx="40">
                  <c:v>4148</c:v>
                </c:pt>
                <c:pt idx="41">
                  <c:v>4283</c:v>
                </c:pt>
                <c:pt idx="42">
                  <c:v>4402</c:v>
                </c:pt>
                <c:pt idx="43">
                  <c:v>4514</c:v>
                </c:pt>
                <c:pt idx="44">
                  <c:v>4639</c:v>
                </c:pt>
                <c:pt idx="45">
                  <c:v>4807</c:v>
                </c:pt>
                <c:pt idx="46">
                  <c:v>4954</c:v>
                </c:pt>
                <c:pt idx="47">
                  <c:v>5102</c:v>
                </c:pt>
                <c:pt idx="48">
                  <c:v>5246</c:v>
                </c:pt>
                <c:pt idx="49">
                  <c:v>5406</c:v>
                </c:pt>
                <c:pt idx="50">
                  <c:v>5555</c:v>
                </c:pt>
                <c:pt idx="51">
                  <c:v>5721</c:v>
                </c:pt>
                <c:pt idx="52">
                  <c:v>5886</c:v>
                </c:pt>
                <c:pt idx="53">
                  <c:v>6046</c:v>
                </c:pt>
                <c:pt idx="54">
                  <c:v>6274</c:v>
                </c:pt>
                <c:pt idx="55">
                  <c:v>6427</c:v>
                </c:pt>
                <c:pt idx="56">
                  <c:v>6679</c:v>
                </c:pt>
                <c:pt idx="57">
                  <c:v>6962</c:v>
                </c:pt>
                <c:pt idx="58">
                  <c:v>7182</c:v>
                </c:pt>
                <c:pt idx="59">
                  <c:v>7414</c:v>
                </c:pt>
                <c:pt idx="60">
                  <c:v>7618</c:v>
                </c:pt>
                <c:pt idx="61">
                  <c:v>7797</c:v>
                </c:pt>
                <c:pt idx="62">
                  <c:v>8018</c:v>
                </c:pt>
                <c:pt idx="63">
                  <c:v>8228</c:v>
                </c:pt>
                <c:pt idx="64">
                  <c:v>8495</c:v>
                </c:pt>
                <c:pt idx="65">
                  <c:v>8794</c:v>
                </c:pt>
                <c:pt idx="66">
                  <c:v>9024</c:v>
                </c:pt>
                <c:pt idx="67">
                  <c:v>9258</c:v>
                </c:pt>
                <c:pt idx="68">
                  <c:v>9508</c:v>
                </c:pt>
                <c:pt idx="69">
                  <c:v>9701</c:v>
                </c:pt>
                <c:pt idx="70">
                  <c:v>9920</c:v>
                </c:pt>
                <c:pt idx="71">
                  <c:v>10184</c:v>
                </c:pt>
                <c:pt idx="72">
                  <c:v>10475</c:v>
                </c:pt>
                <c:pt idx="73">
                  <c:v>10715</c:v>
                </c:pt>
                <c:pt idx="74">
                  <c:v>10914</c:v>
                </c:pt>
                <c:pt idx="75">
                  <c:v>11117</c:v>
                </c:pt>
                <c:pt idx="76">
                  <c:v>11460</c:v>
                </c:pt>
                <c:pt idx="77">
                  <c:v>11765</c:v>
                </c:pt>
                <c:pt idx="78">
                  <c:v>12161</c:v>
                </c:pt>
                <c:pt idx="79">
                  <c:v>12528</c:v>
                </c:pt>
                <c:pt idx="80">
                  <c:v>12846</c:v>
                </c:pt>
                <c:pt idx="81">
                  <c:v>13137</c:v>
                </c:pt>
                <c:pt idx="82">
                  <c:v>13434</c:v>
                </c:pt>
                <c:pt idx="83">
                  <c:v>13780</c:v>
                </c:pt>
                <c:pt idx="84">
                  <c:v>14110</c:v>
                </c:pt>
                <c:pt idx="85">
                  <c:v>14559</c:v>
                </c:pt>
                <c:pt idx="86">
                  <c:v>14903</c:v>
                </c:pt>
                <c:pt idx="87">
                  <c:v>15186</c:v>
                </c:pt>
                <c:pt idx="88">
                  <c:v>15508</c:v>
                </c:pt>
                <c:pt idx="89">
                  <c:v>15859</c:v>
                </c:pt>
                <c:pt idx="90">
                  <c:v>16241</c:v>
                </c:pt>
                <c:pt idx="91">
                  <c:v>16620</c:v>
                </c:pt>
                <c:pt idx="92">
                  <c:v>16984</c:v>
                </c:pt>
                <c:pt idx="93">
                  <c:v>17334</c:v>
                </c:pt>
                <c:pt idx="94">
                  <c:v>17749</c:v>
                </c:pt>
                <c:pt idx="95">
                  <c:v>18009</c:v>
                </c:pt>
                <c:pt idx="96">
                  <c:v>18315</c:v>
                </c:pt>
                <c:pt idx="97">
                  <c:v>18656</c:v>
                </c:pt>
                <c:pt idx="98">
                  <c:v>18977</c:v>
                </c:pt>
                <c:pt idx="99">
                  <c:v>20128</c:v>
                </c:pt>
                <c:pt idx="100">
                  <c:v>20503</c:v>
                </c:pt>
                <c:pt idx="101">
                  <c:v>20932</c:v>
                </c:pt>
                <c:pt idx="102">
                  <c:v>21404</c:v>
                </c:pt>
                <c:pt idx="103">
                  <c:v>21827</c:v>
                </c:pt>
                <c:pt idx="104">
                  <c:v>22312</c:v>
                </c:pt>
                <c:pt idx="105">
                  <c:v>22730</c:v>
                </c:pt>
                <c:pt idx="106">
                  <c:v>23145</c:v>
                </c:pt>
                <c:pt idx="107">
                  <c:v>23616</c:v>
                </c:pt>
                <c:pt idx="108">
                  <c:v>24077</c:v>
                </c:pt>
                <c:pt idx="109">
                  <c:v>24499</c:v>
                </c:pt>
                <c:pt idx="110">
                  <c:v>24947</c:v>
                </c:pt>
                <c:pt idx="111">
                  <c:v>25420</c:v>
                </c:pt>
                <c:pt idx="112">
                  <c:v>25871</c:v>
                </c:pt>
                <c:pt idx="113">
                  <c:v>26252</c:v>
                </c:pt>
                <c:pt idx="114">
                  <c:v>26713</c:v>
                </c:pt>
                <c:pt idx="115">
                  <c:v>27133</c:v>
                </c:pt>
                <c:pt idx="116">
                  <c:v>27743</c:v>
                </c:pt>
                <c:pt idx="117">
                  <c:v>28335</c:v>
                </c:pt>
                <c:pt idx="118">
                  <c:v>28933</c:v>
                </c:pt>
                <c:pt idx="119">
                  <c:v>29309</c:v>
                </c:pt>
                <c:pt idx="120">
                  <c:v>29724</c:v>
                </c:pt>
                <c:pt idx="121">
                  <c:v>30345</c:v>
                </c:pt>
                <c:pt idx="122">
                  <c:v>30805</c:v>
                </c:pt>
                <c:pt idx="123">
                  <c:v>31275</c:v>
                </c:pt>
                <c:pt idx="124">
                  <c:v>31770</c:v>
                </c:pt>
                <c:pt idx="125">
                  <c:v>32224</c:v>
                </c:pt>
                <c:pt idx="126">
                  <c:v>32753</c:v>
                </c:pt>
                <c:pt idx="127">
                  <c:v>33172</c:v>
                </c:pt>
                <c:pt idx="128">
                  <c:v>33613</c:v>
                </c:pt>
                <c:pt idx="129">
                  <c:v>34085</c:v>
                </c:pt>
                <c:pt idx="130">
                  <c:v>34499</c:v>
                </c:pt>
                <c:pt idx="131">
                  <c:v>34969</c:v>
                </c:pt>
                <c:pt idx="132">
                  <c:v>35538</c:v>
                </c:pt>
                <c:pt idx="133">
                  <c:v>36012</c:v>
                </c:pt>
                <c:pt idx="134">
                  <c:v>36534</c:v>
                </c:pt>
                <c:pt idx="135">
                  <c:v>36975</c:v>
                </c:pt>
                <c:pt idx="136">
                  <c:v>37429</c:v>
                </c:pt>
                <c:pt idx="137">
                  <c:v>37965</c:v>
                </c:pt>
                <c:pt idx="138">
                  <c:v>38484</c:v>
                </c:pt>
                <c:pt idx="139">
                  <c:v>39041</c:v>
                </c:pt>
                <c:pt idx="140">
                  <c:v>39574</c:v>
                </c:pt>
                <c:pt idx="141">
                  <c:v>40071</c:v>
                </c:pt>
                <c:pt idx="142">
                  <c:v>40562</c:v>
                </c:pt>
                <c:pt idx="143">
                  <c:v>41052</c:v>
                </c:pt>
                <c:pt idx="144">
                  <c:v>41659</c:v>
                </c:pt>
                <c:pt idx="145">
                  <c:v>42181</c:v>
                </c:pt>
                <c:pt idx="146">
                  <c:v>42686</c:v>
                </c:pt>
                <c:pt idx="147">
                  <c:v>43120</c:v>
                </c:pt>
                <c:pt idx="148">
                  <c:v>43527</c:v>
                </c:pt>
                <c:pt idx="149">
                  <c:v>44050</c:v>
                </c:pt>
                <c:pt idx="150">
                  <c:v>44756</c:v>
                </c:pt>
                <c:pt idx="151">
                  <c:v>45266</c:v>
                </c:pt>
                <c:pt idx="152">
                  <c:v>45687</c:v>
                </c:pt>
                <c:pt idx="153">
                  <c:v>46211</c:v>
                </c:pt>
                <c:pt idx="154">
                  <c:v>46651</c:v>
                </c:pt>
                <c:pt idx="155">
                  <c:v>47231</c:v>
                </c:pt>
                <c:pt idx="156">
                  <c:v>47752</c:v>
                </c:pt>
                <c:pt idx="157">
                  <c:v>48371</c:v>
                </c:pt>
                <c:pt idx="158">
                  <c:v>49015</c:v>
                </c:pt>
                <c:pt idx="159">
                  <c:v>49611</c:v>
                </c:pt>
                <c:pt idx="160">
                  <c:v>50194</c:v>
                </c:pt>
                <c:pt idx="161">
                  <c:v>50566</c:v>
                </c:pt>
                <c:pt idx="162">
                  <c:v>51117</c:v>
                </c:pt>
                <c:pt idx="163">
                  <c:v>51765</c:v>
                </c:pt>
                <c:pt idx="164">
                  <c:v>52569</c:v>
                </c:pt>
                <c:pt idx="165">
                  <c:v>53090</c:v>
                </c:pt>
                <c:pt idx="166">
                  <c:v>53612</c:v>
                </c:pt>
                <c:pt idx="167">
                  <c:v>54474</c:v>
                </c:pt>
                <c:pt idx="168">
                  <c:v>55247</c:v>
                </c:pt>
                <c:pt idx="169">
                  <c:v>55842</c:v>
                </c:pt>
                <c:pt idx="170">
                  <c:v>56381</c:v>
                </c:pt>
                <c:pt idx="171">
                  <c:v>56964</c:v>
                </c:pt>
                <c:pt idx="172">
                  <c:v>57539</c:v>
                </c:pt>
                <c:pt idx="173">
                  <c:v>58271</c:v>
                </c:pt>
                <c:pt idx="174">
                  <c:v>58801</c:v>
                </c:pt>
                <c:pt idx="175">
                  <c:v>59334</c:v>
                </c:pt>
                <c:pt idx="176">
                  <c:v>59921</c:v>
                </c:pt>
                <c:pt idx="177">
                  <c:v>60493</c:v>
                </c:pt>
                <c:pt idx="178">
                  <c:v>61022</c:v>
                </c:pt>
                <c:pt idx="179">
                  <c:v>61540</c:v>
                </c:pt>
                <c:pt idx="180">
                  <c:v>62104</c:v>
                </c:pt>
                <c:pt idx="181">
                  <c:v>62591</c:v>
                </c:pt>
                <c:pt idx="182">
                  <c:v>63153</c:v>
                </c:pt>
                <c:pt idx="183">
                  <c:v>63656</c:v>
                </c:pt>
                <c:pt idx="184">
                  <c:v>64250</c:v>
                </c:pt>
                <c:pt idx="185">
                  <c:v>64778</c:v>
                </c:pt>
                <c:pt idx="186">
                  <c:v>65380</c:v>
                </c:pt>
                <c:pt idx="187">
                  <c:v>65986</c:v>
                </c:pt>
                <c:pt idx="188">
                  <c:v>66541</c:v>
                </c:pt>
                <c:pt idx="189">
                  <c:v>67015</c:v>
                </c:pt>
                <c:pt idx="190">
                  <c:v>67628</c:v>
                </c:pt>
                <c:pt idx="191">
                  <c:v>68298</c:v>
                </c:pt>
                <c:pt idx="192">
                  <c:v>68718</c:v>
                </c:pt>
                <c:pt idx="193">
                  <c:v>68722</c:v>
                </c:pt>
                <c:pt idx="194">
                  <c:v>68729</c:v>
                </c:pt>
                <c:pt idx="195">
                  <c:v>68741</c:v>
                </c:pt>
                <c:pt idx="196">
                  <c:v>68758</c:v>
                </c:pt>
                <c:pt idx="197">
                  <c:v>68768</c:v>
                </c:pt>
                <c:pt idx="198">
                  <c:v>68778</c:v>
                </c:pt>
                <c:pt idx="199">
                  <c:v>68787</c:v>
                </c:pt>
                <c:pt idx="200">
                  <c:v>68791</c:v>
                </c:pt>
                <c:pt idx="201">
                  <c:v>68802</c:v>
                </c:pt>
                <c:pt idx="202">
                  <c:v>68818</c:v>
                </c:pt>
                <c:pt idx="203">
                  <c:v>68846</c:v>
                </c:pt>
                <c:pt idx="204">
                  <c:v>69777</c:v>
                </c:pt>
                <c:pt idx="205">
                  <c:v>70770</c:v>
                </c:pt>
                <c:pt idx="206">
                  <c:v>71563</c:v>
                </c:pt>
                <c:pt idx="207">
                  <c:v>72480</c:v>
                </c:pt>
                <c:pt idx="208">
                  <c:v>73388</c:v>
                </c:pt>
                <c:pt idx="209">
                  <c:v>74100</c:v>
                </c:pt>
                <c:pt idx="210">
                  <c:v>75023</c:v>
                </c:pt>
                <c:pt idx="211">
                  <c:v>75744</c:v>
                </c:pt>
                <c:pt idx="212">
                  <c:v>76495</c:v>
                </c:pt>
                <c:pt idx="213">
                  <c:v>77435</c:v>
                </c:pt>
                <c:pt idx="214">
                  <c:v>78190</c:v>
                </c:pt>
                <c:pt idx="215">
                  <c:v>78924</c:v>
                </c:pt>
                <c:pt idx="216">
                  <c:v>79875</c:v>
                </c:pt>
                <c:pt idx="217">
                  <c:v>80766</c:v>
                </c:pt>
                <c:pt idx="218">
                  <c:v>81486</c:v>
                </c:pt>
                <c:pt idx="219">
                  <c:v>82202</c:v>
                </c:pt>
                <c:pt idx="220">
                  <c:v>83156</c:v>
                </c:pt>
                <c:pt idx="221">
                  <c:v>83897</c:v>
                </c:pt>
                <c:pt idx="222">
                  <c:v>84700</c:v>
                </c:pt>
                <c:pt idx="223">
                  <c:v>85386</c:v>
                </c:pt>
                <c:pt idx="224">
                  <c:v>86185</c:v>
                </c:pt>
                <c:pt idx="225">
                  <c:v>86295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8-4202-8F68-373206C28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505440"/>
        <c:axId val="1981499136"/>
      </c:lineChart>
      <c:dateAx>
        <c:axId val="685505440"/>
        <c:scaling>
          <c:orientation val="minMax"/>
        </c:scaling>
        <c:delete val="0"/>
        <c:axPos val="b"/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499136"/>
        <c:crosses val="autoZero"/>
        <c:auto val="1"/>
        <c:lblOffset val="100"/>
        <c:baseTimeUnit val="days"/>
        <c:majorUnit val="4"/>
        <c:majorTimeUnit val="months"/>
      </c:dateAx>
      <c:valAx>
        <c:axId val="19814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#,##\ 0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50544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1</xdr:row>
      <xdr:rowOff>6350</xdr:rowOff>
    </xdr:from>
    <xdr:to>
      <xdr:col>16</xdr:col>
      <xdr:colOff>422275</xdr:colOff>
      <xdr:row>26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B8BBF2-1443-4C89-A94E-0B608E206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</xdr:colOff>
      <xdr:row>1</xdr:row>
      <xdr:rowOff>0</xdr:rowOff>
    </xdr:from>
    <xdr:to>
      <xdr:col>16</xdr:col>
      <xdr:colOff>419099</xdr:colOff>
      <xdr:row>26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9F451-77F9-4433-BDFF-8E73A158D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C6A227-A301-4559-95AB-669F644884D5}" name="Table3" displayName="Table3" ref="A1:D4" totalsRowShown="0">
  <autoFilter ref="A1:D4" xr:uid="{B9EC535E-4B6D-4B48-90B1-7DB882449CAE}"/>
  <tableColumns count="4">
    <tableColumn id="1" xr3:uid="{77B26D5F-AB94-4A18-9B40-193199861F0C}" name="Label"/>
    <tableColumn id="2" xr3:uid="{C7DCE739-666A-405E-82F0-5ECE1621F657}" name="NET Standard Packages"/>
    <tableColumn id="3" xr3:uid="{824EAC8B-BC25-4AB8-97CC-85B886699973}" name="Total Packages"/>
    <tableColumn id="4" xr3:uid="{6CA6A55D-45BC-4BCC-8631-7744E3170B47}" name="Percentage" dataDxfId="2" dataCellStyle="Percent">
      <calculatedColumnFormula>B2/C2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EAE74-321B-4B35-AFF6-525BFBE4FF21}" name="Table2" displayName="Table2" ref="A1:C142" totalsRowShown="0">
  <autoFilter ref="A1:C142" xr:uid="{D30C598F-3DA2-4162-8CA3-C9B07354A4F7}"/>
  <tableColumns count="3">
    <tableColumn id="1" xr3:uid="{472E617A-1D2F-4A80-B5E2-A619D91A66BB}" name="ConversionDate" dataDxfId="1"/>
    <tableColumn id="2" xr3:uid="{0C7F7B93-6A74-4F2B-BC26-589C42E78FB7}" name="ConvertedPackages"/>
    <tableColumn id="3" xr3:uid="{26BCF361-FDFB-4935-AD25-970F7FA2B110}" name="ConvertedPackagesCumulative" dataDxfId="3">
      <calculatedColumnFormula>SUM($B$2:Table2[[#This Row],[ConvertedPackages]])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46244-8AB6-4AF0-BDEE-962766FACBD4}" name="Table1" displayName="Table1" ref="A1:C227" totalsRowShown="0">
  <autoFilter ref="A1:C227" xr:uid="{F0336CFA-180B-43A1-AF9C-73C29E835B53}"/>
  <tableColumns count="3">
    <tableColumn id="1" xr3:uid="{B5238D63-C145-48C9-8A5A-2E7003385E7D}" name="ConversionDate" dataDxfId="0"/>
    <tableColumn id="2" xr3:uid="{9F4F0587-AE28-41C9-9A54-5AC02D68752E}" name="ConvertedPackages"/>
    <tableColumn id="3" xr3:uid="{94163FA8-E050-4DD4-B942-991C248854B0}" name="ConvertedPackagesCumulative" dataDxfId="4">
      <calculatedColumnFormula>SUM($B$2:Table1[[#This Row],[ConvertedPackages]])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E596-8E56-4C41-BB8A-42AB74638AA9}">
  <dimension ref="A1:D4"/>
  <sheetViews>
    <sheetView tabSelected="1" workbookViewId="0">
      <selection activeCell="A3" sqref="A3"/>
    </sheetView>
  </sheetViews>
  <sheetFormatPr defaultRowHeight="14.5" x14ac:dyDescent="0.35"/>
  <cols>
    <col min="2" max="2" width="27.36328125" customWidth="1"/>
    <col min="3" max="3" width="18.81640625" customWidth="1"/>
    <col min="4" max="4" width="18.08984375" customWidth="1"/>
  </cols>
  <sheetData>
    <row r="1" spans="1:4" x14ac:dyDescent="0.35">
      <c r="A1" t="s">
        <v>5</v>
      </c>
      <c r="B1" t="s">
        <v>3</v>
      </c>
      <c r="C1" t="s">
        <v>9</v>
      </c>
      <c r="D1" t="s">
        <v>4</v>
      </c>
    </row>
    <row r="2" spans="1:4" x14ac:dyDescent="0.35">
      <c r="A2" t="s">
        <v>6</v>
      </c>
      <c r="B2">
        <v>768</v>
      </c>
      <c r="C2">
        <v>1000</v>
      </c>
      <c r="D2" s="4">
        <f>B2/C2</f>
        <v>0.76800000000000002</v>
      </c>
    </row>
    <row r="3" spans="1:4" x14ac:dyDescent="0.35">
      <c r="A3" t="s">
        <v>7</v>
      </c>
      <c r="B3">
        <v>86295</v>
      </c>
      <c r="C3">
        <v>217604</v>
      </c>
      <c r="D3" s="4">
        <f>B3/C3</f>
        <v>0.39656899689343944</v>
      </c>
    </row>
    <row r="4" spans="1:4" x14ac:dyDescent="0.35">
      <c r="A4" t="s">
        <v>8</v>
      </c>
      <c r="B4">
        <v>32530</v>
      </c>
      <c r="C4">
        <v>55555</v>
      </c>
      <c r="D4" s="4">
        <f>B4/C4</f>
        <v>0.58554585545855453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7B03-1EBC-4E37-BC0B-2A95D764EDC8}">
  <dimension ref="A1:E142"/>
  <sheetViews>
    <sheetView workbookViewId="0">
      <selection activeCell="S10" sqref="S10"/>
    </sheetView>
  </sheetViews>
  <sheetFormatPr defaultRowHeight="14.5" x14ac:dyDescent="0.35"/>
  <cols>
    <col min="1" max="1" width="16.54296875" style="1" bestFit="1" customWidth="1"/>
    <col min="2" max="2" width="19.6328125" bestFit="1" customWidth="1"/>
    <col min="3" max="3" width="29.26953125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>
        <v>42474.056668113422</v>
      </c>
      <c r="B2">
        <v>1</v>
      </c>
      <c r="C2">
        <f>SUM($B$2:Table2[[#This Row],[ConvertedPackages]])</f>
        <v>1</v>
      </c>
    </row>
    <row r="3" spans="1:3" x14ac:dyDescent="0.35">
      <c r="A3" s="1">
        <v>42495.056668113422</v>
      </c>
      <c r="B3">
        <v>2</v>
      </c>
      <c r="C3">
        <f>SUM($B$2:Table2[[#This Row],[ConvertedPackages]])</f>
        <v>3</v>
      </c>
    </row>
    <row r="4" spans="1:3" x14ac:dyDescent="0.35">
      <c r="A4" s="1">
        <v>42502.056668113422</v>
      </c>
      <c r="B4">
        <v>37</v>
      </c>
      <c r="C4">
        <f>SUM($B$2:Table2[[#This Row],[ConvertedPackages]])</f>
        <v>40</v>
      </c>
    </row>
    <row r="5" spans="1:3" x14ac:dyDescent="0.35">
      <c r="A5" s="1">
        <v>42509.056668113422</v>
      </c>
      <c r="B5">
        <v>28</v>
      </c>
      <c r="C5">
        <f>SUM($B$2:Table2[[#This Row],[ConvertedPackages]])</f>
        <v>68</v>
      </c>
    </row>
    <row r="6" spans="1:3" x14ac:dyDescent="0.35">
      <c r="A6" s="1">
        <v>42516.056668113422</v>
      </c>
      <c r="B6">
        <v>28</v>
      </c>
      <c r="C6">
        <f>SUM($B$2:Table2[[#This Row],[ConvertedPackages]])</f>
        <v>96</v>
      </c>
    </row>
    <row r="7" spans="1:3" x14ac:dyDescent="0.35">
      <c r="A7" s="1">
        <v>42523.056668113422</v>
      </c>
      <c r="B7">
        <v>11</v>
      </c>
      <c r="C7">
        <f>SUM($B$2:Table2[[#This Row],[ConvertedPackages]])</f>
        <v>107</v>
      </c>
    </row>
    <row r="8" spans="1:3" x14ac:dyDescent="0.35">
      <c r="A8" s="1">
        <v>42530.056668113422</v>
      </c>
      <c r="B8">
        <v>4</v>
      </c>
      <c r="C8">
        <f>SUM($B$2:Table2[[#This Row],[ConvertedPackages]])</f>
        <v>111</v>
      </c>
    </row>
    <row r="9" spans="1:3" x14ac:dyDescent="0.35">
      <c r="A9" s="1">
        <v>42537.056668113422</v>
      </c>
      <c r="B9">
        <v>11</v>
      </c>
      <c r="C9">
        <f>SUM($B$2:Table2[[#This Row],[ConvertedPackages]])</f>
        <v>122</v>
      </c>
    </row>
    <row r="10" spans="1:3" x14ac:dyDescent="0.35">
      <c r="A10" s="1">
        <v>42544.056668113422</v>
      </c>
      <c r="B10">
        <v>21</v>
      </c>
      <c r="C10">
        <f>SUM($B$2:Table2[[#This Row],[ConvertedPackages]])</f>
        <v>143</v>
      </c>
    </row>
    <row r="11" spans="1:3" x14ac:dyDescent="0.35">
      <c r="A11" s="1">
        <v>42551.056668113422</v>
      </c>
      <c r="B11">
        <v>53</v>
      </c>
      <c r="C11">
        <f>SUM($B$2:Table2[[#This Row],[ConvertedPackages]])</f>
        <v>196</v>
      </c>
    </row>
    <row r="12" spans="1:3" x14ac:dyDescent="0.35">
      <c r="A12" s="1">
        <v>42558.056668113422</v>
      </c>
      <c r="B12">
        <v>12</v>
      </c>
      <c r="C12">
        <f>SUM($B$2:Table2[[#This Row],[ConvertedPackages]])</f>
        <v>208</v>
      </c>
    </row>
    <row r="13" spans="1:3" x14ac:dyDescent="0.35">
      <c r="A13" s="1">
        <v>42565.056668113422</v>
      </c>
      <c r="B13">
        <v>10</v>
      </c>
      <c r="C13">
        <f>SUM($B$2:Table2[[#This Row],[ConvertedPackages]])</f>
        <v>218</v>
      </c>
    </row>
    <row r="14" spans="1:3" x14ac:dyDescent="0.35">
      <c r="A14" s="1">
        <v>42572.056668113422</v>
      </c>
      <c r="B14">
        <v>8</v>
      </c>
      <c r="C14">
        <f>SUM($B$2:Table2[[#This Row],[ConvertedPackages]])</f>
        <v>226</v>
      </c>
    </row>
    <row r="15" spans="1:3" x14ac:dyDescent="0.35">
      <c r="A15" s="1">
        <v>42579.056668113422</v>
      </c>
      <c r="B15">
        <v>13</v>
      </c>
      <c r="C15">
        <f>SUM($B$2:Table2[[#This Row],[ConvertedPackages]])</f>
        <v>239</v>
      </c>
    </row>
    <row r="16" spans="1:3" x14ac:dyDescent="0.35">
      <c r="A16" s="1">
        <v>42586.056668113422</v>
      </c>
      <c r="B16">
        <v>23</v>
      </c>
      <c r="C16">
        <f>SUM($B$2:Table2[[#This Row],[ConvertedPackages]])</f>
        <v>262</v>
      </c>
    </row>
    <row r="17" spans="1:5" x14ac:dyDescent="0.35">
      <c r="A17" s="1">
        <v>42593.056668113422</v>
      </c>
      <c r="B17">
        <v>5</v>
      </c>
      <c r="C17">
        <f>SUM($B$2:Table2[[#This Row],[ConvertedPackages]])</f>
        <v>267</v>
      </c>
    </row>
    <row r="18" spans="1:5" x14ac:dyDescent="0.35">
      <c r="A18" s="1">
        <v>42600.056668113422</v>
      </c>
      <c r="B18">
        <v>9</v>
      </c>
      <c r="C18">
        <f>SUM($B$2:Table2[[#This Row],[ConvertedPackages]])</f>
        <v>276</v>
      </c>
    </row>
    <row r="19" spans="1:5" x14ac:dyDescent="0.35">
      <c r="A19" s="1">
        <v>42607.056668113422</v>
      </c>
      <c r="B19">
        <v>6</v>
      </c>
      <c r="C19">
        <f>SUM($B$2:Table2[[#This Row],[ConvertedPackages]])</f>
        <v>282</v>
      </c>
    </row>
    <row r="20" spans="1:5" x14ac:dyDescent="0.35">
      <c r="A20" s="1">
        <v>42614.056668113422</v>
      </c>
      <c r="B20">
        <v>13</v>
      </c>
      <c r="C20">
        <f>SUM($B$2:Table2[[#This Row],[ConvertedPackages]])</f>
        <v>295</v>
      </c>
    </row>
    <row r="21" spans="1:5" x14ac:dyDescent="0.35">
      <c r="A21" s="1">
        <v>42621.056668113422</v>
      </c>
      <c r="B21">
        <v>8</v>
      </c>
      <c r="C21">
        <f>SUM($B$2:Table2[[#This Row],[ConvertedPackages]])</f>
        <v>303</v>
      </c>
    </row>
    <row r="22" spans="1:5" x14ac:dyDescent="0.35">
      <c r="A22" s="1">
        <v>42628.056668113422</v>
      </c>
      <c r="B22">
        <v>4</v>
      </c>
      <c r="C22">
        <f>SUM($B$2:Table2[[#This Row],[ConvertedPackages]])</f>
        <v>307</v>
      </c>
    </row>
    <row r="23" spans="1:5" x14ac:dyDescent="0.35">
      <c r="A23" s="1">
        <v>42635.056668113422</v>
      </c>
      <c r="B23">
        <v>6</v>
      </c>
      <c r="C23">
        <f>SUM($B$2:Table2[[#This Row],[ConvertedPackages]])</f>
        <v>313</v>
      </c>
    </row>
    <row r="24" spans="1:5" x14ac:dyDescent="0.35">
      <c r="A24" s="1">
        <v>42642.056668113422</v>
      </c>
      <c r="B24">
        <v>5</v>
      </c>
      <c r="C24">
        <f>SUM($B$2:Table2[[#This Row],[ConvertedPackages]])</f>
        <v>318</v>
      </c>
    </row>
    <row r="25" spans="1:5" x14ac:dyDescent="0.35">
      <c r="A25" s="1">
        <v>42649.056668113422</v>
      </c>
      <c r="B25">
        <v>5</v>
      </c>
      <c r="C25">
        <f>SUM($B$2:Table2[[#This Row],[ConvertedPackages]])</f>
        <v>323</v>
      </c>
    </row>
    <row r="26" spans="1:5" x14ac:dyDescent="0.35">
      <c r="A26" s="1">
        <v>42656.056668113422</v>
      </c>
      <c r="B26">
        <v>2</v>
      </c>
      <c r="C26">
        <f>SUM($B$2:Table2[[#This Row],[ConvertedPackages]])</f>
        <v>325</v>
      </c>
    </row>
    <row r="27" spans="1:5" x14ac:dyDescent="0.35">
      <c r="A27" s="1">
        <v>42663.056668113422</v>
      </c>
      <c r="B27">
        <v>7</v>
      </c>
      <c r="C27">
        <f>SUM($B$2:Table2[[#This Row],[ConvertedPackages]])</f>
        <v>332</v>
      </c>
    </row>
    <row r="28" spans="1:5" x14ac:dyDescent="0.35">
      <c r="A28" s="1">
        <v>42670.056668113422</v>
      </c>
      <c r="B28">
        <v>2</v>
      </c>
      <c r="C28">
        <f>SUM($B$2:Table2[[#This Row],[ConvertedPackages]])</f>
        <v>334</v>
      </c>
    </row>
    <row r="29" spans="1:5" x14ac:dyDescent="0.35">
      <c r="A29" s="1">
        <v>42677.056668113422</v>
      </c>
      <c r="B29">
        <v>6</v>
      </c>
      <c r="C29">
        <f>SUM($B$2:Table2[[#This Row],[ConvertedPackages]])</f>
        <v>340</v>
      </c>
      <c r="E29" s="2"/>
    </row>
    <row r="30" spans="1:5" x14ac:dyDescent="0.35">
      <c r="A30" s="1">
        <v>42684.056668113422</v>
      </c>
      <c r="B30">
        <v>2</v>
      </c>
      <c r="C30">
        <f>SUM($B$2:Table2[[#This Row],[ConvertedPackages]])</f>
        <v>342</v>
      </c>
      <c r="E30" s="3"/>
    </row>
    <row r="31" spans="1:5" x14ac:dyDescent="0.35">
      <c r="A31" s="1">
        <v>42691.056668113422</v>
      </c>
      <c r="B31">
        <v>6</v>
      </c>
      <c r="C31">
        <f>SUM($B$2:Table2[[#This Row],[ConvertedPackages]])</f>
        <v>348</v>
      </c>
      <c r="E31" s="3"/>
    </row>
    <row r="32" spans="1:5" x14ac:dyDescent="0.35">
      <c r="A32" s="1">
        <v>42698.056668113422</v>
      </c>
      <c r="B32">
        <v>4</v>
      </c>
      <c r="C32">
        <f>SUM($B$2:Table2[[#This Row],[ConvertedPackages]])</f>
        <v>352</v>
      </c>
      <c r="E32" s="3"/>
    </row>
    <row r="33" spans="1:5" x14ac:dyDescent="0.35">
      <c r="A33" s="1">
        <v>42705.056668113422</v>
      </c>
      <c r="B33">
        <v>11</v>
      </c>
      <c r="C33">
        <f>SUM($B$2:Table2[[#This Row],[ConvertedPackages]])</f>
        <v>363</v>
      </c>
      <c r="E33" s="3"/>
    </row>
    <row r="34" spans="1:5" x14ac:dyDescent="0.35">
      <c r="A34" s="1">
        <v>42712.056668113422</v>
      </c>
      <c r="B34">
        <v>7</v>
      </c>
      <c r="C34">
        <f>SUM($B$2:Table2[[#This Row],[ConvertedPackages]])</f>
        <v>370</v>
      </c>
      <c r="E34" s="3"/>
    </row>
    <row r="35" spans="1:5" x14ac:dyDescent="0.35">
      <c r="A35" s="1">
        <v>42719.056668113422</v>
      </c>
      <c r="B35">
        <v>6</v>
      </c>
      <c r="C35">
        <f>SUM($B$2:Table2[[#This Row],[ConvertedPackages]])</f>
        <v>376</v>
      </c>
      <c r="E35" s="3"/>
    </row>
    <row r="36" spans="1:5" x14ac:dyDescent="0.35">
      <c r="A36" s="1">
        <v>42726.056668113422</v>
      </c>
      <c r="B36">
        <v>1</v>
      </c>
      <c r="C36">
        <f>SUM($B$2:Table2[[#This Row],[ConvertedPackages]])</f>
        <v>377</v>
      </c>
      <c r="E36" s="3"/>
    </row>
    <row r="37" spans="1:5" x14ac:dyDescent="0.35">
      <c r="A37" s="1">
        <v>42733.056668113422</v>
      </c>
      <c r="B37">
        <v>4</v>
      </c>
      <c r="C37">
        <f>SUM($B$2:Table2[[#This Row],[ConvertedPackages]])</f>
        <v>381</v>
      </c>
      <c r="E37" s="3"/>
    </row>
    <row r="38" spans="1:5" x14ac:dyDescent="0.35">
      <c r="A38" s="1">
        <v>42740.056668113422</v>
      </c>
      <c r="B38">
        <v>4</v>
      </c>
      <c r="C38">
        <f>SUM($B$2:Table2[[#This Row],[ConvertedPackages]])</f>
        <v>385</v>
      </c>
      <c r="E38" s="3"/>
    </row>
    <row r="39" spans="1:5" x14ac:dyDescent="0.35">
      <c r="A39" s="1">
        <v>42747.056668113422</v>
      </c>
      <c r="B39">
        <v>4</v>
      </c>
      <c r="C39">
        <f>SUM($B$2:Table2[[#This Row],[ConvertedPackages]])</f>
        <v>389</v>
      </c>
      <c r="E39" s="3"/>
    </row>
    <row r="40" spans="1:5" x14ac:dyDescent="0.35">
      <c r="A40" s="1">
        <v>42754.056668113422</v>
      </c>
      <c r="B40">
        <v>6</v>
      </c>
      <c r="C40">
        <f>SUM($B$2:Table2[[#This Row],[ConvertedPackages]])</f>
        <v>395</v>
      </c>
      <c r="E40" s="3"/>
    </row>
    <row r="41" spans="1:5" x14ac:dyDescent="0.35">
      <c r="A41" s="1">
        <v>42761.056668113422</v>
      </c>
      <c r="B41">
        <v>2</v>
      </c>
      <c r="C41">
        <f>SUM($B$2:Table2[[#This Row],[ConvertedPackages]])</f>
        <v>397</v>
      </c>
      <c r="E41" s="3"/>
    </row>
    <row r="42" spans="1:5" x14ac:dyDescent="0.35">
      <c r="A42" s="1">
        <v>42768.056668113422</v>
      </c>
      <c r="B42">
        <v>8</v>
      </c>
      <c r="C42">
        <f>SUM($B$2:Table2[[#This Row],[ConvertedPackages]])</f>
        <v>405</v>
      </c>
    </row>
    <row r="43" spans="1:5" x14ac:dyDescent="0.35">
      <c r="A43" s="1">
        <v>42775.056668113422</v>
      </c>
      <c r="B43">
        <v>1</v>
      </c>
      <c r="C43">
        <f>SUM($B$2:Table2[[#This Row],[ConvertedPackages]])</f>
        <v>406</v>
      </c>
    </row>
    <row r="44" spans="1:5" x14ac:dyDescent="0.35">
      <c r="A44" s="1">
        <v>42782.056668113422</v>
      </c>
      <c r="B44">
        <v>1</v>
      </c>
      <c r="C44">
        <f>SUM($B$2:Table2[[#This Row],[ConvertedPackages]])</f>
        <v>407</v>
      </c>
    </row>
    <row r="45" spans="1:5" x14ac:dyDescent="0.35">
      <c r="A45" s="1">
        <v>42789.056668113422</v>
      </c>
      <c r="B45">
        <v>6</v>
      </c>
      <c r="C45">
        <f>SUM($B$2:Table2[[#This Row],[ConvertedPackages]])</f>
        <v>413</v>
      </c>
    </row>
    <row r="46" spans="1:5" x14ac:dyDescent="0.35">
      <c r="A46" s="1">
        <v>42796.056668113422</v>
      </c>
      <c r="B46">
        <v>1</v>
      </c>
      <c r="C46">
        <f>SUM($B$2:Table2[[#This Row],[ConvertedPackages]])</f>
        <v>414</v>
      </c>
    </row>
    <row r="47" spans="1:5" x14ac:dyDescent="0.35">
      <c r="A47" s="1">
        <v>42803.056668113422</v>
      </c>
      <c r="B47">
        <v>6</v>
      </c>
      <c r="C47">
        <f>SUM($B$2:Table2[[#This Row],[ConvertedPackages]])</f>
        <v>420</v>
      </c>
    </row>
    <row r="48" spans="1:5" x14ac:dyDescent="0.35">
      <c r="A48" s="1">
        <v>42810.056668113422</v>
      </c>
      <c r="B48">
        <v>7</v>
      </c>
      <c r="C48">
        <f>SUM($B$2:Table2[[#This Row],[ConvertedPackages]])</f>
        <v>427</v>
      </c>
    </row>
    <row r="49" spans="1:3" x14ac:dyDescent="0.35">
      <c r="A49" s="1">
        <v>42817.056668113422</v>
      </c>
      <c r="B49">
        <v>1</v>
      </c>
      <c r="C49">
        <f>SUM($B$2:Table2[[#This Row],[ConvertedPackages]])</f>
        <v>428</v>
      </c>
    </row>
    <row r="50" spans="1:3" x14ac:dyDescent="0.35">
      <c r="A50" s="1">
        <v>42824.056668113422</v>
      </c>
      <c r="B50">
        <v>17</v>
      </c>
      <c r="C50">
        <f>SUM($B$2:Table2[[#This Row],[ConvertedPackages]])</f>
        <v>445</v>
      </c>
    </row>
    <row r="51" spans="1:3" x14ac:dyDescent="0.35">
      <c r="A51" s="1">
        <v>42831.056668113422</v>
      </c>
      <c r="B51">
        <v>1</v>
      </c>
      <c r="C51">
        <f>SUM($B$2:Table2[[#This Row],[ConvertedPackages]])</f>
        <v>446</v>
      </c>
    </row>
    <row r="52" spans="1:3" x14ac:dyDescent="0.35">
      <c r="A52" s="1">
        <v>42838.056668113422</v>
      </c>
      <c r="B52">
        <v>2</v>
      </c>
      <c r="C52">
        <f>SUM($B$2:Table2[[#This Row],[ConvertedPackages]])</f>
        <v>448</v>
      </c>
    </row>
    <row r="53" spans="1:3" x14ac:dyDescent="0.35">
      <c r="A53" s="1">
        <v>42845.056668113422</v>
      </c>
      <c r="B53">
        <v>7</v>
      </c>
      <c r="C53">
        <f>SUM($B$2:Table2[[#This Row],[ConvertedPackages]])</f>
        <v>455</v>
      </c>
    </row>
    <row r="54" spans="1:3" x14ac:dyDescent="0.35">
      <c r="A54" s="1">
        <v>42852.056668113422</v>
      </c>
      <c r="B54">
        <v>3</v>
      </c>
      <c r="C54">
        <f>SUM($B$2:Table2[[#This Row],[ConvertedPackages]])</f>
        <v>458</v>
      </c>
    </row>
    <row r="55" spans="1:3" x14ac:dyDescent="0.35">
      <c r="A55" s="1">
        <v>42859.056668113422</v>
      </c>
      <c r="B55">
        <v>8</v>
      </c>
      <c r="C55">
        <f>SUM($B$2:Table2[[#This Row],[ConvertedPackages]])</f>
        <v>466</v>
      </c>
    </row>
    <row r="56" spans="1:3" x14ac:dyDescent="0.35">
      <c r="A56" s="1">
        <v>42866.056668113422</v>
      </c>
      <c r="B56">
        <v>3</v>
      </c>
      <c r="C56">
        <f>SUM($B$2:Table2[[#This Row],[ConvertedPackages]])</f>
        <v>469</v>
      </c>
    </row>
    <row r="57" spans="1:3" x14ac:dyDescent="0.35">
      <c r="A57" s="1">
        <v>42873.056668113422</v>
      </c>
      <c r="B57">
        <v>3</v>
      </c>
      <c r="C57">
        <f>SUM($B$2:Table2[[#This Row],[ConvertedPackages]])</f>
        <v>472</v>
      </c>
    </row>
    <row r="58" spans="1:3" x14ac:dyDescent="0.35">
      <c r="A58" s="1">
        <v>42880.056668113422</v>
      </c>
      <c r="B58">
        <v>8</v>
      </c>
      <c r="C58">
        <f>SUM($B$2:Table2[[#This Row],[ConvertedPackages]])</f>
        <v>480</v>
      </c>
    </row>
    <row r="59" spans="1:3" x14ac:dyDescent="0.35">
      <c r="A59" s="1">
        <v>42887.056668113422</v>
      </c>
      <c r="B59">
        <v>4</v>
      </c>
      <c r="C59">
        <f>SUM($B$2:Table2[[#This Row],[ConvertedPackages]])</f>
        <v>484</v>
      </c>
    </row>
    <row r="60" spans="1:3" x14ac:dyDescent="0.35">
      <c r="A60" s="1">
        <v>42894.056668113422</v>
      </c>
      <c r="B60">
        <v>7</v>
      </c>
      <c r="C60">
        <f>SUM($B$2:Table2[[#This Row],[ConvertedPackages]])</f>
        <v>491</v>
      </c>
    </row>
    <row r="61" spans="1:3" x14ac:dyDescent="0.35">
      <c r="A61" s="1">
        <v>42901.056668113422</v>
      </c>
      <c r="B61">
        <v>8</v>
      </c>
      <c r="C61">
        <f>SUM($B$2:Table2[[#This Row],[ConvertedPackages]])</f>
        <v>499</v>
      </c>
    </row>
    <row r="62" spans="1:3" x14ac:dyDescent="0.35">
      <c r="A62" s="1">
        <v>42908.056668113422</v>
      </c>
      <c r="B62">
        <v>5</v>
      </c>
      <c r="C62">
        <f>SUM($B$2:Table2[[#This Row],[ConvertedPackages]])</f>
        <v>504</v>
      </c>
    </row>
    <row r="63" spans="1:3" x14ac:dyDescent="0.35">
      <c r="A63" s="1">
        <v>42922.056668113422</v>
      </c>
      <c r="B63">
        <v>2</v>
      </c>
      <c r="C63">
        <f>SUM($B$2:Table2[[#This Row],[ConvertedPackages]])</f>
        <v>506</v>
      </c>
    </row>
    <row r="64" spans="1:3" x14ac:dyDescent="0.35">
      <c r="A64" s="1">
        <v>42936.056668113422</v>
      </c>
      <c r="B64">
        <v>7</v>
      </c>
      <c r="C64">
        <f>SUM($B$2:Table2[[#This Row],[ConvertedPackages]])</f>
        <v>513</v>
      </c>
    </row>
    <row r="65" spans="1:3" x14ac:dyDescent="0.35">
      <c r="A65" s="1">
        <v>42943.056668113422</v>
      </c>
      <c r="B65">
        <v>1</v>
      </c>
      <c r="C65">
        <f>SUM($B$2:Table2[[#This Row],[ConvertedPackages]])</f>
        <v>514</v>
      </c>
    </row>
    <row r="66" spans="1:3" x14ac:dyDescent="0.35">
      <c r="A66" s="1">
        <v>42950.056668113422</v>
      </c>
      <c r="B66">
        <v>1</v>
      </c>
      <c r="C66">
        <f>SUM($B$2:Table2[[#This Row],[ConvertedPackages]])</f>
        <v>515</v>
      </c>
    </row>
    <row r="67" spans="1:3" x14ac:dyDescent="0.35">
      <c r="A67" s="1">
        <v>42957.056668113422</v>
      </c>
      <c r="B67">
        <v>5</v>
      </c>
      <c r="C67">
        <f>SUM($B$2:Table2[[#This Row],[ConvertedPackages]])</f>
        <v>520</v>
      </c>
    </row>
    <row r="68" spans="1:3" x14ac:dyDescent="0.35">
      <c r="A68" s="1">
        <v>42964.056668113422</v>
      </c>
      <c r="B68">
        <v>3</v>
      </c>
      <c r="C68">
        <f>SUM($B$2:Table2[[#This Row],[ConvertedPackages]])</f>
        <v>523</v>
      </c>
    </row>
    <row r="69" spans="1:3" x14ac:dyDescent="0.35">
      <c r="A69" s="1">
        <v>42971.056668113422</v>
      </c>
      <c r="B69">
        <v>1</v>
      </c>
      <c r="C69">
        <f>SUM($B$2:Table2[[#This Row],[ConvertedPackages]])</f>
        <v>524</v>
      </c>
    </row>
    <row r="70" spans="1:3" x14ac:dyDescent="0.35">
      <c r="A70" s="1">
        <v>42978.056668113422</v>
      </c>
      <c r="B70">
        <v>4</v>
      </c>
      <c r="C70">
        <f>SUM($B$2:Table2[[#This Row],[ConvertedPackages]])</f>
        <v>528</v>
      </c>
    </row>
    <row r="71" spans="1:3" x14ac:dyDescent="0.35">
      <c r="A71" s="1">
        <v>42985.056668113422</v>
      </c>
      <c r="B71">
        <v>10</v>
      </c>
      <c r="C71">
        <f>SUM($B$2:Table2[[#This Row],[ConvertedPackages]])</f>
        <v>538</v>
      </c>
    </row>
    <row r="72" spans="1:3" x14ac:dyDescent="0.35">
      <c r="A72" s="1">
        <v>42992.056668113422</v>
      </c>
      <c r="B72">
        <v>4</v>
      </c>
      <c r="C72">
        <f>SUM($B$2:Table2[[#This Row],[ConvertedPackages]])</f>
        <v>542</v>
      </c>
    </row>
    <row r="73" spans="1:3" x14ac:dyDescent="0.35">
      <c r="A73" s="1">
        <v>42999.056668113422</v>
      </c>
      <c r="B73">
        <v>10</v>
      </c>
      <c r="C73">
        <f>SUM($B$2:Table2[[#This Row],[ConvertedPackages]])</f>
        <v>552</v>
      </c>
    </row>
    <row r="74" spans="1:3" x14ac:dyDescent="0.35">
      <c r="A74" s="1">
        <v>43006.056668113422</v>
      </c>
      <c r="B74">
        <v>3</v>
      </c>
      <c r="C74">
        <f>SUM($B$2:Table2[[#This Row],[ConvertedPackages]])</f>
        <v>555</v>
      </c>
    </row>
    <row r="75" spans="1:3" x14ac:dyDescent="0.35">
      <c r="A75" s="1">
        <v>43013.056668113422</v>
      </c>
      <c r="B75">
        <v>31</v>
      </c>
      <c r="C75">
        <f>SUM($B$2:Table2[[#This Row],[ConvertedPackages]])</f>
        <v>586</v>
      </c>
    </row>
    <row r="76" spans="1:3" x14ac:dyDescent="0.35">
      <c r="A76" s="1">
        <v>43020.056668113422</v>
      </c>
      <c r="B76">
        <v>10</v>
      </c>
      <c r="C76">
        <f>SUM($B$2:Table2[[#This Row],[ConvertedPackages]])</f>
        <v>596</v>
      </c>
    </row>
    <row r="77" spans="1:3" x14ac:dyDescent="0.35">
      <c r="A77" s="1">
        <v>43027.056668113422</v>
      </c>
      <c r="B77">
        <v>7</v>
      </c>
      <c r="C77">
        <f>SUM($B$2:Table2[[#This Row],[ConvertedPackages]])</f>
        <v>603</v>
      </c>
    </row>
    <row r="78" spans="1:3" x14ac:dyDescent="0.35">
      <c r="A78" s="1">
        <v>43034.056668113422</v>
      </c>
      <c r="B78">
        <v>1</v>
      </c>
      <c r="C78">
        <f>SUM($B$2:Table2[[#This Row],[ConvertedPackages]])</f>
        <v>604</v>
      </c>
    </row>
    <row r="79" spans="1:3" x14ac:dyDescent="0.35">
      <c r="A79" s="1">
        <v>43041.056668113422</v>
      </c>
      <c r="B79">
        <v>3</v>
      </c>
      <c r="C79">
        <f>SUM($B$2:Table2[[#This Row],[ConvertedPackages]])</f>
        <v>607</v>
      </c>
    </row>
    <row r="80" spans="1:3" x14ac:dyDescent="0.35">
      <c r="A80" s="1">
        <v>43048.056668113422</v>
      </c>
      <c r="B80">
        <v>2</v>
      </c>
      <c r="C80">
        <f>SUM($B$2:Table2[[#This Row],[ConvertedPackages]])</f>
        <v>609</v>
      </c>
    </row>
    <row r="81" spans="1:3" x14ac:dyDescent="0.35">
      <c r="A81" s="1">
        <v>43055.056668113422</v>
      </c>
      <c r="B81">
        <v>1</v>
      </c>
      <c r="C81">
        <f>SUM($B$2:Table2[[#This Row],[ConvertedPackages]])</f>
        <v>610</v>
      </c>
    </row>
    <row r="82" spans="1:3" x14ac:dyDescent="0.35">
      <c r="A82" s="1">
        <v>43062.056668113422</v>
      </c>
      <c r="B82">
        <v>2</v>
      </c>
      <c r="C82">
        <f>SUM($B$2:Table2[[#This Row],[ConvertedPackages]])</f>
        <v>612</v>
      </c>
    </row>
    <row r="83" spans="1:3" x14ac:dyDescent="0.35">
      <c r="A83" s="1">
        <v>43069.056668113422</v>
      </c>
      <c r="B83">
        <v>2</v>
      </c>
      <c r="C83">
        <f>SUM($B$2:Table2[[#This Row],[ConvertedPackages]])</f>
        <v>614</v>
      </c>
    </row>
    <row r="84" spans="1:3" x14ac:dyDescent="0.35">
      <c r="A84" s="1">
        <v>43076.056668113422</v>
      </c>
      <c r="B84">
        <v>10</v>
      </c>
      <c r="C84">
        <f>SUM($B$2:Table2[[#This Row],[ConvertedPackages]])</f>
        <v>624</v>
      </c>
    </row>
    <row r="85" spans="1:3" x14ac:dyDescent="0.35">
      <c r="A85" s="1">
        <v>43083.056668113422</v>
      </c>
      <c r="B85">
        <v>6</v>
      </c>
      <c r="C85">
        <f>SUM($B$2:Table2[[#This Row],[ConvertedPackages]])</f>
        <v>630</v>
      </c>
    </row>
    <row r="86" spans="1:3" x14ac:dyDescent="0.35">
      <c r="A86" s="1">
        <v>43104.056668113422</v>
      </c>
      <c r="B86">
        <v>1</v>
      </c>
      <c r="C86">
        <f>SUM($B$2:Table2[[#This Row],[ConvertedPackages]])</f>
        <v>631</v>
      </c>
    </row>
    <row r="87" spans="1:3" x14ac:dyDescent="0.35">
      <c r="A87" s="1">
        <v>43111.056668113422</v>
      </c>
      <c r="B87">
        <v>2</v>
      </c>
      <c r="C87">
        <f>SUM($B$2:Table2[[#This Row],[ConvertedPackages]])</f>
        <v>633</v>
      </c>
    </row>
    <row r="88" spans="1:3" x14ac:dyDescent="0.35">
      <c r="A88" s="1">
        <v>43118.056668113422</v>
      </c>
      <c r="B88">
        <v>3</v>
      </c>
      <c r="C88">
        <f>SUM($B$2:Table2[[#This Row],[ConvertedPackages]])</f>
        <v>636</v>
      </c>
    </row>
    <row r="89" spans="1:3" x14ac:dyDescent="0.35">
      <c r="A89" s="1">
        <v>43125.056668113422</v>
      </c>
      <c r="B89">
        <v>3</v>
      </c>
      <c r="C89">
        <f>SUM($B$2:Table2[[#This Row],[ConvertedPackages]])</f>
        <v>639</v>
      </c>
    </row>
    <row r="90" spans="1:3" x14ac:dyDescent="0.35">
      <c r="A90" s="1">
        <v>43132.056668113422</v>
      </c>
      <c r="B90">
        <v>5</v>
      </c>
      <c r="C90">
        <f>SUM($B$2:Table2[[#This Row],[ConvertedPackages]])</f>
        <v>644</v>
      </c>
    </row>
    <row r="91" spans="1:3" x14ac:dyDescent="0.35">
      <c r="A91" s="1">
        <v>43139.056668113422</v>
      </c>
      <c r="B91">
        <v>3</v>
      </c>
      <c r="C91">
        <f>SUM($B$2:Table2[[#This Row],[ConvertedPackages]])</f>
        <v>647</v>
      </c>
    </row>
    <row r="92" spans="1:3" x14ac:dyDescent="0.35">
      <c r="A92" s="1">
        <v>43153.056668113422</v>
      </c>
      <c r="B92">
        <v>2</v>
      </c>
      <c r="C92">
        <f>SUM($B$2:Table2[[#This Row],[ConvertedPackages]])</f>
        <v>649</v>
      </c>
    </row>
    <row r="93" spans="1:3" x14ac:dyDescent="0.35">
      <c r="A93" s="1">
        <v>43160.056668113422</v>
      </c>
      <c r="B93">
        <v>3</v>
      </c>
      <c r="C93">
        <f>SUM($B$2:Table2[[#This Row],[ConvertedPackages]])</f>
        <v>652</v>
      </c>
    </row>
    <row r="94" spans="1:3" x14ac:dyDescent="0.35">
      <c r="A94" s="1">
        <v>43167.056668113422</v>
      </c>
      <c r="B94">
        <v>4</v>
      </c>
      <c r="C94">
        <f>SUM($B$2:Table2[[#This Row],[ConvertedPackages]])</f>
        <v>656</v>
      </c>
    </row>
    <row r="95" spans="1:3" x14ac:dyDescent="0.35">
      <c r="A95" s="1">
        <v>43174.056668113422</v>
      </c>
      <c r="B95">
        <v>3</v>
      </c>
      <c r="C95">
        <f>SUM($B$2:Table2[[#This Row],[ConvertedPackages]])</f>
        <v>659</v>
      </c>
    </row>
    <row r="96" spans="1:3" x14ac:dyDescent="0.35">
      <c r="A96" s="1">
        <v>43181.056668113422</v>
      </c>
      <c r="B96">
        <v>4</v>
      </c>
      <c r="C96">
        <f>SUM($B$2:Table2[[#This Row],[ConvertedPackages]])</f>
        <v>663</v>
      </c>
    </row>
    <row r="97" spans="1:3" x14ac:dyDescent="0.35">
      <c r="A97" s="1">
        <v>43188.056668113422</v>
      </c>
      <c r="B97">
        <v>5</v>
      </c>
      <c r="C97">
        <f>SUM($B$2:Table2[[#This Row],[ConvertedPackages]])</f>
        <v>668</v>
      </c>
    </row>
    <row r="98" spans="1:3" x14ac:dyDescent="0.35">
      <c r="A98" s="1">
        <v>43195.056668113422</v>
      </c>
      <c r="B98">
        <v>1</v>
      </c>
      <c r="C98">
        <f>SUM($B$2:Table2[[#This Row],[ConvertedPackages]])</f>
        <v>669</v>
      </c>
    </row>
    <row r="99" spans="1:3" x14ac:dyDescent="0.35">
      <c r="A99" s="1">
        <v>43202.056668113422</v>
      </c>
      <c r="B99">
        <v>18</v>
      </c>
      <c r="C99">
        <f>SUM($B$2:Table2[[#This Row],[ConvertedPackages]])</f>
        <v>687</v>
      </c>
    </row>
    <row r="100" spans="1:3" x14ac:dyDescent="0.35">
      <c r="A100" s="1">
        <v>43209.056668113422</v>
      </c>
      <c r="B100">
        <v>2</v>
      </c>
      <c r="C100">
        <f>SUM($B$2:Table2[[#This Row],[ConvertedPackages]])</f>
        <v>689</v>
      </c>
    </row>
    <row r="101" spans="1:3" x14ac:dyDescent="0.35">
      <c r="A101" s="1">
        <v>43216.056668113422</v>
      </c>
      <c r="B101">
        <v>1</v>
      </c>
      <c r="C101">
        <f>SUM($B$2:Table2[[#This Row],[ConvertedPackages]])</f>
        <v>690</v>
      </c>
    </row>
    <row r="102" spans="1:3" x14ac:dyDescent="0.35">
      <c r="A102" s="1">
        <v>43237.056668113422</v>
      </c>
      <c r="B102">
        <v>3</v>
      </c>
      <c r="C102">
        <f>SUM($B$2:Table2[[#This Row],[ConvertedPackages]])</f>
        <v>693</v>
      </c>
    </row>
    <row r="103" spans="1:3" x14ac:dyDescent="0.35">
      <c r="A103" s="1">
        <v>43244.056668113422</v>
      </c>
      <c r="B103">
        <v>1</v>
      </c>
      <c r="C103">
        <f>SUM($B$2:Table2[[#This Row],[ConvertedPackages]])</f>
        <v>694</v>
      </c>
    </row>
    <row r="104" spans="1:3" x14ac:dyDescent="0.35">
      <c r="A104" s="1">
        <v>43251.056668113422</v>
      </c>
      <c r="B104">
        <v>1</v>
      </c>
      <c r="C104">
        <f>SUM($B$2:Table2[[#This Row],[ConvertedPackages]])</f>
        <v>695</v>
      </c>
    </row>
    <row r="105" spans="1:3" x14ac:dyDescent="0.35">
      <c r="A105" s="1">
        <v>43258.056668113422</v>
      </c>
      <c r="B105">
        <v>1</v>
      </c>
      <c r="C105">
        <f>SUM($B$2:Table2[[#This Row],[ConvertedPackages]])</f>
        <v>696</v>
      </c>
    </row>
    <row r="106" spans="1:3" x14ac:dyDescent="0.35">
      <c r="A106" s="1">
        <v>43265.056668113422</v>
      </c>
      <c r="B106">
        <v>4</v>
      </c>
      <c r="C106">
        <f>SUM($B$2:Table2[[#This Row],[ConvertedPackages]])</f>
        <v>700</v>
      </c>
    </row>
    <row r="107" spans="1:3" x14ac:dyDescent="0.35">
      <c r="A107" s="1">
        <v>43272.056668113422</v>
      </c>
      <c r="B107">
        <v>2</v>
      </c>
      <c r="C107">
        <f>SUM($B$2:Table2[[#This Row],[ConvertedPackages]])</f>
        <v>702</v>
      </c>
    </row>
    <row r="108" spans="1:3" x14ac:dyDescent="0.35">
      <c r="A108" s="1">
        <v>43279.056668113422</v>
      </c>
      <c r="B108">
        <v>4</v>
      </c>
      <c r="C108">
        <f>SUM($B$2:Table2[[#This Row],[ConvertedPackages]])</f>
        <v>706</v>
      </c>
    </row>
    <row r="109" spans="1:3" x14ac:dyDescent="0.35">
      <c r="A109" s="1">
        <v>43286.056668113422</v>
      </c>
      <c r="B109">
        <v>2</v>
      </c>
      <c r="C109">
        <f>SUM($B$2:Table2[[#This Row],[ConvertedPackages]])</f>
        <v>708</v>
      </c>
    </row>
    <row r="110" spans="1:3" x14ac:dyDescent="0.35">
      <c r="A110" s="1">
        <v>43293.056668113422</v>
      </c>
      <c r="B110">
        <v>4</v>
      </c>
      <c r="C110">
        <f>SUM($B$2:Table2[[#This Row],[ConvertedPackages]])</f>
        <v>712</v>
      </c>
    </row>
    <row r="111" spans="1:3" x14ac:dyDescent="0.35">
      <c r="A111" s="1">
        <v>43300.056668113422</v>
      </c>
      <c r="B111">
        <v>1</v>
      </c>
      <c r="C111">
        <f>SUM($B$2:Table2[[#This Row],[ConvertedPackages]])</f>
        <v>713</v>
      </c>
    </row>
    <row r="112" spans="1:3" x14ac:dyDescent="0.35">
      <c r="A112" s="1">
        <v>43307.056668113422</v>
      </c>
      <c r="B112">
        <v>2</v>
      </c>
      <c r="C112">
        <f>SUM($B$2:Table2[[#This Row],[ConvertedPackages]])</f>
        <v>715</v>
      </c>
    </row>
    <row r="113" spans="1:3" x14ac:dyDescent="0.35">
      <c r="A113" s="1">
        <v>43321.056668113422</v>
      </c>
      <c r="B113">
        <v>3</v>
      </c>
      <c r="C113">
        <f>SUM($B$2:Table2[[#This Row],[ConvertedPackages]])</f>
        <v>718</v>
      </c>
    </row>
    <row r="114" spans="1:3" x14ac:dyDescent="0.35">
      <c r="A114" s="1">
        <v>43335.056668113422</v>
      </c>
      <c r="B114">
        <v>2</v>
      </c>
      <c r="C114">
        <f>SUM($B$2:Table2[[#This Row],[ConvertedPackages]])</f>
        <v>720</v>
      </c>
    </row>
    <row r="115" spans="1:3" x14ac:dyDescent="0.35">
      <c r="A115" s="1">
        <v>43363.056668113422</v>
      </c>
      <c r="B115">
        <v>1</v>
      </c>
      <c r="C115">
        <f>SUM($B$2:Table2[[#This Row],[ConvertedPackages]])</f>
        <v>721</v>
      </c>
    </row>
    <row r="116" spans="1:3" x14ac:dyDescent="0.35">
      <c r="A116" s="1">
        <v>43370.056668113422</v>
      </c>
      <c r="B116">
        <v>1</v>
      </c>
      <c r="C116">
        <f>SUM($B$2:Table2[[#This Row],[ConvertedPackages]])</f>
        <v>722</v>
      </c>
    </row>
    <row r="117" spans="1:3" x14ac:dyDescent="0.35">
      <c r="A117" s="1">
        <v>43398.056668113422</v>
      </c>
      <c r="B117">
        <v>6</v>
      </c>
      <c r="C117">
        <f>SUM($B$2:Table2[[#This Row],[ConvertedPackages]])</f>
        <v>728</v>
      </c>
    </row>
    <row r="118" spans="1:3" x14ac:dyDescent="0.35">
      <c r="A118" s="1">
        <v>43412.056668113422</v>
      </c>
      <c r="B118">
        <v>6</v>
      </c>
      <c r="C118">
        <f>SUM($B$2:Table2[[#This Row],[ConvertedPackages]])</f>
        <v>734</v>
      </c>
    </row>
    <row r="119" spans="1:3" x14ac:dyDescent="0.35">
      <c r="A119" s="1">
        <v>43419.056668113422</v>
      </c>
      <c r="B119">
        <v>2</v>
      </c>
      <c r="C119">
        <f>SUM($B$2:Table2[[#This Row],[ConvertedPackages]])</f>
        <v>736</v>
      </c>
    </row>
    <row r="120" spans="1:3" x14ac:dyDescent="0.35">
      <c r="A120" s="1">
        <v>43426.056668113422</v>
      </c>
      <c r="B120">
        <v>1</v>
      </c>
      <c r="C120">
        <f>SUM($B$2:Table2[[#This Row],[ConvertedPackages]])</f>
        <v>737</v>
      </c>
    </row>
    <row r="121" spans="1:3" x14ac:dyDescent="0.35">
      <c r="A121" s="1">
        <v>43433.056668113422</v>
      </c>
      <c r="B121">
        <v>1</v>
      </c>
      <c r="C121">
        <f>SUM($B$2:Table2[[#This Row],[ConvertedPackages]])</f>
        <v>738</v>
      </c>
    </row>
    <row r="122" spans="1:3" x14ac:dyDescent="0.35">
      <c r="A122" s="1">
        <v>43447.056668113422</v>
      </c>
      <c r="B122">
        <v>3</v>
      </c>
      <c r="C122">
        <f>SUM($B$2:Table2[[#This Row],[ConvertedPackages]])</f>
        <v>741</v>
      </c>
    </row>
    <row r="123" spans="1:3" x14ac:dyDescent="0.35">
      <c r="A123" s="1">
        <v>43489.056668113422</v>
      </c>
      <c r="B123">
        <v>1</v>
      </c>
      <c r="C123">
        <f>SUM($B$2:Table2[[#This Row],[ConvertedPackages]])</f>
        <v>742</v>
      </c>
    </row>
    <row r="124" spans="1:3" x14ac:dyDescent="0.35">
      <c r="A124" s="1">
        <v>43503.056668113422</v>
      </c>
      <c r="B124">
        <v>1</v>
      </c>
      <c r="C124">
        <f>SUM($B$2:Table2[[#This Row],[ConvertedPackages]])</f>
        <v>743</v>
      </c>
    </row>
    <row r="125" spans="1:3" x14ac:dyDescent="0.35">
      <c r="A125" s="1">
        <v>43510.056668113422</v>
      </c>
      <c r="B125">
        <v>1</v>
      </c>
      <c r="C125">
        <f>SUM($B$2:Table2[[#This Row],[ConvertedPackages]])</f>
        <v>744</v>
      </c>
    </row>
    <row r="126" spans="1:3" x14ac:dyDescent="0.35">
      <c r="A126" s="1">
        <v>43524.056668113422</v>
      </c>
      <c r="B126">
        <v>1</v>
      </c>
      <c r="C126">
        <f>SUM($B$2:Table2[[#This Row],[ConvertedPackages]])</f>
        <v>745</v>
      </c>
    </row>
    <row r="127" spans="1:3" x14ac:dyDescent="0.35">
      <c r="A127" s="1">
        <v>43552.056668113422</v>
      </c>
      <c r="B127">
        <v>1</v>
      </c>
      <c r="C127">
        <f>SUM($B$2:Table2[[#This Row],[ConvertedPackages]])</f>
        <v>746</v>
      </c>
    </row>
    <row r="128" spans="1:3" x14ac:dyDescent="0.35">
      <c r="A128" s="1">
        <v>43559.056668113422</v>
      </c>
      <c r="B128">
        <v>1</v>
      </c>
      <c r="C128">
        <f>SUM($B$2:Table2[[#This Row],[ConvertedPackages]])</f>
        <v>747</v>
      </c>
    </row>
    <row r="129" spans="1:3" x14ac:dyDescent="0.35">
      <c r="A129" s="1">
        <v>43566.056668113422</v>
      </c>
      <c r="B129">
        <v>1</v>
      </c>
      <c r="C129">
        <f>SUM($B$2:Table2[[#This Row],[ConvertedPackages]])</f>
        <v>748</v>
      </c>
    </row>
    <row r="130" spans="1:3" x14ac:dyDescent="0.35">
      <c r="A130" s="1">
        <v>43601.056668113422</v>
      </c>
      <c r="B130">
        <v>1</v>
      </c>
      <c r="C130">
        <f>SUM($B$2:Table2[[#This Row],[ConvertedPackages]])</f>
        <v>749</v>
      </c>
    </row>
    <row r="131" spans="1:3" x14ac:dyDescent="0.35">
      <c r="A131" s="1">
        <v>43615.056668113422</v>
      </c>
      <c r="B131">
        <v>3</v>
      </c>
      <c r="C131">
        <f>SUM($B$2:Table2[[#This Row],[ConvertedPackages]])</f>
        <v>752</v>
      </c>
    </row>
    <row r="132" spans="1:3" x14ac:dyDescent="0.35">
      <c r="A132" s="1">
        <v>43636.056668113422</v>
      </c>
      <c r="B132">
        <v>1</v>
      </c>
      <c r="C132">
        <f>SUM($B$2:Table2[[#This Row],[ConvertedPackages]])</f>
        <v>753</v>
      </c>
    </row>
    <row r="133" spans="1:3" x14ac:dyDescent="0.35">
      <c r="A133" s="1">
        <v>43643.056668113422</v>
      </c>
      <c r="B133">
        <v>2</v>
      </c>
      <c r="C133">
        <f>SUM($B$2:Table2[[#This Row],[ConvertedPackages]])</f>
        <v>755</v>
      </c>
    </row>
    <row r="134" spans="1:3" x14ac:dyDescent="0.35">
      <c r="A134" s="1">
        <v>43657.056668113422</v>
      </c>
      <c r="B134">
        <v>1</v>
      </c>
      <c r="C134">
        <f>SUM($B$2:Table2[[#This Row],[ConvertedPackages]])</f>
        <v>756</v>
      </c>
    </row>
    <row r="135" spans="1:3" x14ac:dyDescent="0.35">
      <c r="A135" s="1">
        <v>43664.056668113422</v>
      </c>
      <c r="B135">
        <v>2</v>
      </c>
      <c r="C135">
        <f>SUM($B$2:Table2[[#This Row],[ConvertedPackages]])</f>
        <v>758</v>
      </c>
    </row>
    <row r="136" spans="1:3" x14ac:dyDescent="0.35">
      <c r="A136" s="1">
        <v>43692.056668113422</v>
      </c>
      <c r="B136">
        <v>1</v>
      </c>
      <c r="C136" s="5">
        <f>SUM($B$2:Table2[[#This Row],[ConvertedPackages]])</f>
        <v>759</v>
      </c>
    </row>
    <row r="137" spans="1:3" x14ac:dyDescent="0.35">
      <c r="A137" s="1">
        <v>43741.056668113422</v>
      </c>
      <c r="B137">
        <v>1</v>
      </c>
      <c r="C137" s="5">
        <f>SUM($B$2:Table2[[#This Row],[ConvertedPackages]])</f>
        <v>760</v>
      </c>
    </row>
    <row r="138" spans="1:3" x14ac:dyDescent="0.35">
      <c r="A138" s="1">
        <v>43755.056668113422</v>
      </c>
      <c r="B138">
        <v>1</v>
      </c>
      <c r="C138" s="5">
        <f>SUM($B$2:Table2[[#This Row],[ConvertedPackages]])</f>
        <v>761</v>
      </c>
    </row>
    <row r="139" spans="1:3" x14ac:dyDescent="0.35">
      <c r="A139" s="1">
        <v>43769.056668113422</v>
      </c>
      <c r="B139">
        <v>2</v>
      </c>
      <c r="C139" s="5">
        <f>SUM($B$2:Table2[[#This Row],[ConvertedPackages]])</f>
        <v>763</v>
      </c>
    </row>
    <row r="140" spans="1:3" x14ac:dyDescent="0.35">
      <c r="A140" s="1">
        <v>43853.056668113422</v>
      </c>
      <c r="B140">
        <v>3</v>
      </c>
      <c r="C140" s="5">
        <f>SUM($B$2:Table2[[#This Row],[ConvertedPackages]])</f>
        <v>766</v>
      </c>
    </row>
    <row r="141" spans="1:3" x14ac:dyDescent="0.35">
      <c r="A141" s="1">
        <v>43951.056668113422</v>
      </c>
      <c r="B141">
        <v>1</v>
      </c>
      <c r="C141" s="5">
        <f>SUM($B$2:Table2[[#This Row],[ConvertedPackages]])</f>
        <v>767</v>
      </c>
    </row>
    <row r="142" spans="1:3" x14ac:dyDescent="0.35">
      <c r="A142" s="1">
        <v>43965.056668113422</v>
      </c>
      <c r="B142">
        <v>1</v>
      </c>
      <c r="C142" s="5">
        <f>SUM($B$2:Table2[[#This Row],[ConvertedPackages]])</f>
        <v>768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937A-4F71-4F96-B53B-7D7923617DD6}">
  <dimension ref="A1:E227"/>
  <sheetViews>
    <sheetView workbookViewId="0">
      <selection activeCell="B7" sqref="B7"/>
    </sheetView>
  </sheetViews>
  <sheetFormatPr defaultRowHeight="14.5" x14ac:dyDescent="0.35"/>
  <cols>
    <col min="1" max="1" width="16.54296875" style="1" bestFit="1" customWidth="1"/>
    <col min="2" max="2" width="19.6328125" bestFit="1" customWidth="1"/>
    <col min="3" max="3" width="29.26953125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>
        <v>42411.06235443287</v>
      </c>
      <c r="B2">
        <v>1</v>
      </c>
      <c r="C2">
        <f>SUM($B$2:Table1[[#This Row],[ConvertedPackages]])</f>
        <v>1</v>
      </c>
    </row>
    <row r="3" spans="1:3" x14ac:dyDescent="0.35">
      <c r="A3" s="1">
        <v>42425.06235443287</v>
      </c>
      <c r="B3">
        <v>6</v>
      </c>
      <c r="C3">
        <f>SUM($B$2:Table1[[#This Row],[ConvertedPackages]])</f>
        <v>7</v>
      </c>
    </row>
    <row r="4" spans="1:3" x14ac:dyDescent="0.35">
      <c r="A4" s="1">
        <v>42432.06235443287</v>
      </c>
      <c r="B4">
        <v>1</v>
      </c>
      <c r="C4">
        <f>SUM($B$2:Table1[[#This Row],[ConvertedPackages]])</f>
        <v>8</v>
      </c>
    </row>
    <row r="5" spans="1:3" x14ac:dyDescent="0.35">
      <c r="A5" s="1">
        <v>42446.06235443287</v>
      </c>
      <c r="B5">
        <v>1</v>
      </c>
      <c r="C5">
        <f>SUM($B$2:Table1[[#This Row],[ConvertedPackages]])</f>
        <v>9</v>
      </c>
    </row>
    <row r="6" spans="1:3" x14ac:dyDescent="0.35">
      <c r="A6" s="1">
        <v>42453.06235443287</v>
      </c>
      <c r="B6">
        <v>2</v>
      </c>
      <c r="C6">
        <f>SUM($B$2:Table1[[#This Row],[ConvertedPackages]])</f>
        <v>11</v>
      </c>
    </row>
    <row r="7" spans="1:3" x14ac:dyDescent="0.35">
      <c r="A7" s="1">
        <v>42460.06235443287</v>
      </c>
      <c r="B7">
        <v>7</v>
      </c>
      <c r="C7">
        <f>SUM($B$2:Table1[[#This Row],[ConvertedPackages]])</f>
        <v>18</v>
      </c>
    </row>
    <row r="8" spans="1:3" x14ac:dyDescent="0.35">
      <c r="A8" s="1">
        <v>42467.06235443287</v>
      </c>
      <c r="B8">
        <v>5</v>
      </c>
      <c r="C8">
        <f>SUM($B$2:Table1[[#This Row],[ConvertedPackages]])</f>
        <v>23</v>
      </c>
    </row>
    <row r="9" spans="1:3" x14ac:dyDescent="0.35">
      <c r="A9" s="1">
        <v>42474.06235443287</v>
      </c>
      <c r="B9">
        <v>2</v>
      </c>
      <c r="C9">
        <f>SUM($B$2:Table1[[#This Row],[ConvertedPackages]])</f>
        <v>25</v>
      </c>
    </row>
    <row r="10" spans="1:3" x14ac:dyDescent="0.35">
      <c r="A10" s="1">
        <v>42481.06235443287</v>
      </c>
      <c r="B10">
        <v>11</v>
      </c>
      <c r="C10">
        <f>SUM($B$2:Table1[[#This Row],[ConvertedPackages]])</f>
        <v>36</v>
      </c>
    </row>
    <row r="11" spans="1:3" x14ac:dyDescent="0.35">
      <c r="A11" s="1">
        <v>42488.06235443287</v>
      </c>
      <c r="B11">
        <v>1</v>
      </c>
      <c r="C11">
        <f>SUM($B$2:Table1[[#This Row],[ConvertedPackages]])</f>
        <v>37</v>
      </c>
    </row>
    <row r="12" spans="1:3" x14ac:dyDescent="0.35">
      <c r="A12" s="1">
        <v>42495.06235443287</v>
      </c>
      <c r="B12">
        <v>7</v>
      </c>
      <c r="C12">
        <f>SUM($B$2:Table1[[#This Row],[ConvertedPackages]])</f>
        <v>44</v>
      </c>
    </row>
    <row r="13" spans="1:3" x14ac:dyDescent="0.35">
      <c r="A13" s="1">
        <v>42502.06235443287</v>
      </c>
      <c r="B13">
        <v>180</v>
      </c>
      <c r="C13">
        <f>SUM($B$2:Table1[[#This Row],[ConvertedPackages]])</f>
        <v>224</v>
      </c>
    </row>
    <row r="14" spans="1:3" x14ac:dyDescent="0.35">
      <c r="A14" s="1">
        <v>42509.06235443287</v>
      </c>
      <c r="B14">
        <v>200</v>
      </c>
      <c r="C14">
        <f>SUM($B$2:Table1[[#This Row],[ConvertedPackages]])</f>
        <v>424</v>
      </c>
    </row>
    <row r="15" spans="1:3" x14ac:dyDescent="0.35">
      <c r="A15" s="1">
        <v>42516.06235443287</v>
      </c>
      <c r="B15">
        <v>169</v>
      </c>
      <c r="C15">
        <f>SUM($B$2:Table1[[#This Row],[ConvertedPackages]])</f>
        <v>593</v>
      </c>
    </row>
    <row r="16" spans="1:3" x14ac:dyDescent="0.35">
      <c r="A16" s="1">
        <v>42523.06235443287</v>
      </c>
      <c r="B16">
        <v>145</v>
      </c>
      <c r="C16">
        <f>SUM($B$2:Table1[[#This Row],[ConvertedPackages]])</f>
        <v>738</v>
      </c>
    </row>
    <row r="17" spans="1:5" x14ac:dyDescent="0.35">
      <c r="A17" s="1">
        <v>42530.06235443287</v>
      </c>
      <c r="B17">
        <v>95</v>
      </c>
      <c r="C17">
        <f>SUM($B$2:Table1[[#This Row],[ConvertedPackages]])</f>
        <v>833</v>
      </c>
    </row>
    <row r="18" spans="1:5" x14ac:dyDescent="0.35">
      <c r="A18" s="1">
        <v>42537.06235443287</v>
      </c>
      <c r="B18">
        <v>69</v>
      </c>
      <c r="C18">
        <f>SUM($B$2:Table1[[#This Row],[ConvertedPackages]])</f>
        <v>902</v>
      </c>
    </row>
    <row r="19" spans="1:5" x14ac:dyDescent="0.35">
      <c r="A19" s="1">
        <v>42544.06235443287</v>
      </c>
      <c r="B19">
        <v>132</v>
      </c>
      <c r="C19">
        <f>SUM($B$2:Table1[[#This Row],[ConvertedPackages]])</f>
        <v>1034</v>
      </c>
    </row>
    <row r="20" spans="1:5" x14ac:dyDescent="0.35">
      <c r="A20" s="1">
        <v>42551.06235443287</v>
      </c>
      <c r="B20">
        <v>189</v>
      </c>
      <c r="C20">
        <f>SUM($B$2:Table1[[#This Row],[ConvertedPackages]])</f>
        <v>1223</v>
      </c>
    </row>
    <row r="21" spans="1:5" x14ac:dyDescent="0.35">
      <c r="A21" s="1">
        <v>42558.06235443287</v>
      </c>
      <c r="B21">
        <v>134</v>
      </c>
      <c r="C21">
        <f>SUM($B$2:Table1[[#This Row],[ConvertedPackages]])</f>
        <v>1357</v>
      </c>
    </row>
    <row r="22" spans="1:5" x14ac:dyDescent="0.35">
      <c r="A22" s="1">
        <v>42565.06235443287</v>
      </c>
      <c r="B22">
        <v>110</v>
      </c>
      <c r="C22">
        <f>SUM($B$2:Table1[[#This Row],[ConvertedPackages]])</f>
        <v>1467</v>
      </c>
    </row>
    <row r="23" spans="1:5" x14ac:dyDescent="0.35">
      <c r="A23" s="1">
        <v>42572.06235443287</v>
      </c>
      <c r="B23">
        <v>120</v>
      </c>
      <c r="C23">
        <f>SUM($B$2:Table1[[#This Row],[ConvertedPackages]])</f>
        <v>1587</v>
      </c>
    </row>
    <row r="24" spans="1:5" x14ac:dyDescent="0.35">
      <c r="A24" s="1">
        <v>42579.06235443287</v>
      </c>
      <c r="B24">
        <v>123</v>
      </c>
      <c r="C24">
        <f>SUM($B$2:Table1[[#This Row],[ConvertedPackages]])</f>
        <v>1710</v>
      </c>
    </row>
    <row r="25" spans="1:5" x14ac:dyDescent="0.35">
      <c r="A25" s="1">
        <v>42586.06235443287</v>
      </c>
      <c r="B25">
        <v>250</v>
      </c>
      <c r="C25">
        <f>SUM($B$2:Table1[[#This Row],[ConvertedPackages]])</f>
        <v>1960</v>
      </c>
    </row>
    <row r="26" spans="1:5" x14ac:dyDescent="0.35">
      <c r="A26" s="1">
        <v>42593.06235443287</v>
      </c>
      <c r="B26">
        <v>92</v>
      </c>
      <c r="C26">
        <f>SUM($B$2:Table1[[#This Row],[ConvertedPackages]])</f>
        <v>2052</v>
      </c>
    </row>
    <row r="27" spans="1:5" x14ac:dyDescent="0.35">
      <c r="A27" s="1">
        <v>42600.06235443287</v>
      </c>
      <c r="B27">
        <v>97</v>
      </c>
      <c r="C27">
        <f>SUM($B$2:Table1[[#This Row],[ConvertedPackages]])</f>
        <v>2149</v>
      </c>
    </row>
    <row r="28" spans="1:5" x14ac:dyDescent="0.35">
      <c r="A28" s="1">
        <v>42607.06235443287</v>
      </c>
      <c r="B28">
        <v>107</v>
      </c>
      <c r="C28">
        <f>SUM($B$2:Table1[[#This Row],[ConvertedPackages]])</f>
        <v>2256</v>
      </c>
    </row>
    <row r="29" spans="1:5" x14ac:dyDescent="0.35">
      <c r="A29" s="1">
        <v>42614.06235443287</v>
      </c>
      <c r="B29">
        <v>100</v>
      </c>
      <c r="C29">
        <f>SUM($B$2:Table1[[#This Row],[ConvertedPackages]])</f>
        <v>2356</v>
      </c>
      <c r="E29" s="2"/>
    </row>
    <row r="30" spans="1:5" x14ac:dyDescent="0.35">
      <c r="A30" s="1">
        <v>42621.06235443287</v>
      </c>
      <c r="B30">
        <v>87</v>
      </c>
      <c r="C30">
        <f>SUM($B$2:Table1[[#This Row],[ConvertedPackages]])</f>
        <v>2443</v>
      </c>
      <c r="E30" s="3"/>
    </row>
    <row r="31" spans="1:5" x14ac:dyDescent="0.35">
      <c r="A31" s="1">
        <v>42628.06235443287</v>
      </c>
      <c r="B31">
        <v>85</v>
      </c>
      <c r="C31">
        <f>SUM($B$2:Table1[[#This Row],[ConvertedPackages]])</f>
        <v>2528</v>
      </c>
      <c r="E31" s="3"/>
    </row>
    <row r="32" spans="1:5" x14ac:dyDescent="0.35">
      <c r="A32" s="1">
        <v>42635.06235443287</v>
      </c>
      <c r="B32">
        <v>126</v>
      </c>
      <c r="C32">
        <f>SUM($B$2:Table1[[#This Row],[ConvertedPackages]])</f>
        <v>2654</v>
      </c>
      <c r="E32" s="3"/>
    </row>
    <row r="33" spans="1:5" x14ac:dyDescent="0.35">
      <c r="A33" s="1">
        <v>42642.06235443287</v>
      </c>
      <c r="B33">
        <v>91</v>
      </c>
      <c r="C33">
        <f>SUM($B$2:Table1[[#This Row],[ConvertedPackages]])</f>
        <v>2745</v>
      </c>
      <c r="E33" s="3"/>
    </row>
    <row r="34" spans="1:5" x14ac:dyDescent="0.35">
      <c r="A34" s="1">
        <v>42649.06235443287</v>
      </c>
      <c r="B34">
        <v>146</v>
      </c>
      <c r="C34">
        <f>SUM($B$2:Table1[[#This Row],[ConvertedPackages]])</f>
        <v>2891</v>
      </c>
      <c r="E34" s="3"/>
    </row>
    <row r="35" spans="1:5" x14ac:dyDescent="0.35">
      <c r="A35" s="1">
        <v>42656.06235443287</v>
      </c>
      <c r="B35">
        <v>92</v>
      </c>
      <c r="C35">
        <f>SUM($B$2:Table1[[#This Row],[ConvertedPackages]])</f>
        <v>2983</v>
      </c>
      <c r="E35" s="3"/>
    </row>
    <row r="36" spans="1:5" x14ac:dyDescent="0.35">
      <c r="A36" s="1">
        <v>42663.06235443287</v>
      </c>
      <c r="B36">
        <v>156</v>
      </c>
      <c r="C36">
        <f>SUM($B$2:Table1[[#This Row],[ConvertedPackages]])</f>
        <v>3139</v>
      </c>
      <c r="E36" s="3"/>
    </row>
    <row r="37" spans="1:5" x14ac:dyDescent="0.35">
      <c r="A37" s="1">
        <v>42670.06235443287</v>
      </c>
      <c r="B37">
        <v>163</v>
      </c>
      <c r="C37">
        <f>SUM($B$2:Table1[[#This Row],[ConvertedPackages]])</f>
        <v>3302</v>
      </c>
      <c r="E37" s="3"/>
    </row>
    <row r="38" spans="1:5" x14ac:dyDescent="0.35">
      <c r="A38" s="1">
        <v>42677.06235443287</v>
      </c>
      <c r="B38">
        <v>143</v>
      </c>
      <c r="C38">
        <f>SUM($B$2:Table1[[#This Row],[ConvertedPackages]])</f>
        <v>3445</v>
      </c>
    </row>
    <row r="39" spans="1:5" x14ac:dyDescent="0.35">
      <c r="A39" s="1">
        <v>42684.06235443287</v>
      </c>
      <c r="B39">
        <v>187</v>
      </c>
      <c r="C39">
        <f>SUM($B$2:Table1[[#This Row],[ConvertedPackages]])</f>
        <v>3632</v>
      </c>
    </row>
    <row r="40" spans="1:5" x14ac:dyDescent="0.35">
      <c r="A40" s="1">
        <v>42691.06235443287</v>
      </c>
      <c r="B40">
        <v>209</v>
      </c>
      <c r="C40">
        <f>SUM($B$2:Table1[[#This Row],[ConvertedPackages]])</f>
        <v>3841</v>
      </c>
    </row>
    <row r="41" spans="1:5" x14ac:dyDescent="0.35">
      <c r="A41" s="1">
        <v>42698.06235443287</v>
      </c>
      <c r="B41">
        <v>118</v>
      </c>
      <c r="C41">
        <f>SUM($B$2:Table1[[#This Row],[ConvertedPackages]])</f>
        <v>3959</v>
      </c>
    </row>
    <row r="42" spans="1:5" x14ac:dyDescent="0.35">
      <c r="A42" s="1">
        <v>42705.06235443287</v>
      </c>
      <c r="B42">
        <v>189</v>
      </c>
      <c r="C42">
        <f>SUM($B$2:Table1[[#This Row],[ConvertedPackages]])</f>
        <v>4148</v>
      </c>
    </row>
    <row r="43" spans="1:5" x14ac:dyDescent="0.35">
      <c r="A43" s="1">
        <v>42712.06235443287</v>
      </c>
      <c r="B43">
        <v>135</v>
      </c>
      <c r="C43">
        <f>SUM($B$2:Table1[[#This Row],[ConvertedPackages]])</f>
        <v>4283</v>
      </c>
    </row>
    <row r="44" spans="1:5" x14ac:dyDescent="0.35">
      <c r="A44" s="1">
        <v>42719.06235443287</v>
      </c>
      <c r="B44">
        <v>119</v>
      </c>
      <c r="C44">
        <f>SUM($B$2:Table1[[#This Row],[ConvertedPackages]])</f>
        <v>4402</v>
      </c>
    </row>
    <row r="45" spans="1:5" x14ac:dyDescent="0.35">
      <c r="A45" s="1">
        <v>42726.06235443287</v>
      </c>
      <c r="B45">
        <v>112</v>
      </c>
      <c r="C45">
        <f>SUM($B$2:Table1[[#This Row],[ConvertedPackages]])</f>
        <v>4514</v>
      </c>
    </row>
    <row r="46" spans="1:5" x14ac:dyDescent="0.35">
      <c r="A46" s="1">
        <v>42733.06235443287</v>
      </c>
      <c r="B46">
        <v>125</v>
      </c>
      <c r="C46">
        <f>SUM($B$2:Table1[[#This Row],[ConvertedPackages]])</f>
        <v>4639</v>
      </c>
    </row>
    <row r="47" spans="1:5" x14ac:dyDescent="0.35">
      <c r="A47" s="1">
        <v>42740.06235443287</v>
      </c>
      <c r="B47">
        <v>168</v>
      </c>
      <c r="C47">
        <f>SUM($B$2:Table1[[#This Row],[ConvertedPackages]])</f>
        <v>4807</v>
      </c>
    </row>
    <row r="48" spans="1:5" x14ac:dyDescent="0.35">
      <c r="A48" s="1">
        <v>42747.06235443287</v>
      </c>
      <c r="B48">
        <v>147</v>
      </c>
      <c r="C48">
        <f>SUM($B$2:Table1[[#This Row],[ConvertedPackages]])</f>
        <v>4954</v>
      </c>
    </row>
    <row r="49" spans="1:3" x14ac:dyDescent="0.35">
      <c r="A49" s="1">
        <v>42754.06235443287</v>
      </c>
      <c r="B49">
        <v>148</v>
      </c>
      <c r="C49">
        <f>SUM($B$2:Table1[[#This Row],[ConvertedPackages]])</f>
        <v>5102</v>
      </c>
    </row>
    <row r="50" spans="1:3" x14ac:dyDescent="0.35">
      <c r="A50" s="1">
        <v>42761.06235443287</v>
      </c>
      <c r="B50">
        <v>144</v>
      </c>
      <c r="C50">
        <f>SUM($B$2:Table1[[#This Row],[ConvertedPackages]])</f>
        <v>5246</v>
      </c>
    </row>
    <row r="51" spans="1:3" x14ac:dyDescent="0.35">
      <c r="A51" s="1">
        <v>42768.06235443287</v>
      </c>
      <c r="B51">
        <v>160</v>
      </c>
      <c r="C51">
        <f>SUM($B$2:Table1[[#This Row],[ConvertedPackages]])</f>
        <v>5406</v>
      </c>
    </row>
    <row r="52" spans="1:3" x14ac:dyDescent="0.35">
      <c r="A52" s="1">
        <v>42775.06235443287</v>
      </c>
      <c r="B52">
        <v>149</v>
      </c>
      <c r="C52">
        <f>SUM($B$2:Table1[[#This Row],[ConvertedPackages]])</f>
        <v>5555</v>
      </c>
    </row>
    <row r="53" spans="1:3" x14ac:dyDescent="0.35">
      <c r="A53" s="1">
        <v>42782.06235443287</v>
      </c>
      <c r="B53">
        <v>166</v>
      </c>
      <c r="C53">
        <f>SUM($B$2:Table1[[#This Row],[ConvertedPackages]])</f>
        <v>5721</v>
      </c>
    </row>
    <row r="54" spans="1:3" x14ac:dyDescent="0.35">
      <c r="A54" s="1">
        <v>42789.06235443287</v>
      </c>
      <c r="B54">
        <v>165</v>
      </c>
      <c r="C54">
        <f>SUM($B$2:Table1[[#This Row],[ConvertedPackages]])</f>
        <v>5886</v>
      </c>
    </row>
    <row r="55" spans="1:3" x14ac:dyDescent="0.35">
      <c r="A55" s="1">
        <v>42796.06235443287</v>
      </c>
      <c r="B55">
        <v>160</v>
      </c>
      <c r="C55">
        <f>SUM($B$2:Table1[[#This Row],[ConvertedPackages]])</f>
        <v>6046</v>
      </c>
    </row>
    <row r="56" spans="1:3" x14ac:dyDescent="0.35">
      <c r="A56" s="1">
        <v>42803.06235443287</v>
      </c>
      <c r="B56">
        <v>228</v>
      </c>
      <c r="C56">
        <f>SUM($B$2:Table1[[#This Row],[ConvertedPackages]])</f>
        <v>6274</v>
      </c>
    </row>
    <row r="57" spans="1:3" x14ac:dyDescent="0.35">
      <c r="A57" s="1">
        <v>42810.06235443287</v>
      </c>
      <c r="B57">
        <v>153</v>
      </c>
      <c r="C57">
        <f>SUM($B$2:Table1[[#This Row],[ConvertedPackages]])</f>
        <v>6427</v>
      </c>
    </row>
    <row r="58" spans="1:3" x14ac:dyDescent="0.35">
      <c r="A58" s="1">
        <v>42817.06235443287</v>
      </c>
      <c r="B58">
        <v>252</v>
      </c>
      <c r="C58">
        <f>SUM($B$2:Table1[[#This Row],[ConvertedPackages]])</f>
        <v>6679</v>
      </c>
    </row>
    <row r="59" spans="1:3" x14ac:dyDescent="0.35">
      <c r="A59" s="1">
        <v>42824.06235443287</v>
      </c>
      <c r="B59">
        <v>283</v>
      </c>
      <c r="C59">
        <f>SUM($B$2:Table1[[#This Row],[ConvertedPackages]])</f>
        <v>6962</v>
      </c>
    </row>
    <row r="60" spans="1:3" x14ac:dyDescent="0.35">
      <c r="A60" s="1">
        <v>42831.06235443287</v>
      </c>
      <c r="B60">
        <v>220</v>
      </c>
      <c r="C60">
        <f>SUM($B$2:Table1[[#This Row],[ConvertedPackages]])</f>
        <v>7182</v>
      </c>
    </row>
    <row r="61" spans="1:3" x14ac:dyDescent="0.35">
      <c r="A61" s="1">
        <v>42838.06235443287</v>
      </c>
      <c r="B61">
        <v>232</v>
      </c>
      <c r="C61">
        <f>SUM($B$2:Table1[[#This Row],[ConvertedPackages]])</f>
        <v>7414</v>
      </c>
    </row>
    <row r="62" spans="1:3" x14ac:dyDescent="0.35">
      <c r="A62" s="1">
        <v>42845.06235443287</v>
      </c>
      <c r="B62">
        <v>204</v>
      </c>
      <c r="C62">
        <f>SUM($B$2:Table1[[#This Row],[ConvertedPackages]])</f>
        <v>7618</v>
      </c>
    </row>
    <row r="63" spans="1:3" x14ac:dyDescent="0.35">
      <c r="A63" s="1">
        <v>42852.06235443287</v>
      </c>
      <c r="B63">
        <v>179</v>
      </c>
      <c r="C63">
        <f>SUM($B$2:Table1[[#This Row],[ConvertedPackages]])</f>
        <v>7797</v>
      </c>
    </row>
    <row r="64" spans="1:3" x14ac:dyDescent="0.35">
      <c r="A64" s="1">
        <v>42859.06235443287</v>
      </c>
      <c r="B64">
        <v>221</v>
      </c>
      <c r="C64">
        <f>SUM($B$2:Table1[[#This Row],[ConvertedPackages]])</f>
        <v>8018</v>
      </c>
    </row>
    <row r="65" spans="1:3" x14ac:dyDescent="0.35">
      <c r="A65" s="1">
        <v>42866.06235443287</v>
      </c>
      <c r="B65">
        <v>210</v>
      </c>
      <c r="C65">
        <f>SUM($B$2:Table1[[#This Row],[ConvertedPackages]])</f>
        <v>8228</v>
      </c>
    </row>
    <row r="66" spans="1:3" x14ac:dyDescent="0.35">
      <c r="A66" s="1">
        <v>42873.06235443287</v>
      </c>
      <c r="B66">
        <v>267</v>
      </c>
      <c r="C66">
        <f>SUM($B$2:Table1[[#This Row],[ConvertedPackages]])</f>
        <v>8495</v>
      </c>
    </row>
    <row r="67" spans="1:3" x14ac:dyDescent="0.35">
      <c r="A67" s="1">
        <v>42880.06235443287</v>
      </c>
      <c r="B67">
        <v>299</v>
      </c>
      <c r="C67">
        <f>SUM($B$2:Table1[[#This Row],[ConvertedPackages]])</f>
        <v>8794</v>
      </c>
    </row>
    <row r="68" spans="1:3" x14ac:dyDescent="0.35">
      <c r="A68" s="1">
        <v>42887.06235443287</v>
      </c>
      <c r="B68">
        <v>230</v>
      </c>
      <c r="C68">
        <f>SUM($B$2:Table1[[#This Row],[ConvertedPackages]])</f>
        <v>9024</v>
      </c>
    </row>
    <row r="69" spans="1:3" x14ac:dyDescent="0.35">
      <c r="A69" s="1">
        <v>42894.06235443287</v>
      </c>
      <c r="B69">
        <v>234</v>
      </c>
      <c r="C69">
        <f>SUM($B$2:Table1[[#This Row],[ConvertedPackages]])</f>
        <v>9258</v>
      </c>
    </row>
    <row r="70" spans="1:3" x14ac:dyDescent="0.35">
      <c r="A70" s="1">
        <v>42901.06235443287</v>
      </c>
      <c r="B70">
        <v>250</v>
      </c>
      <c r="C70">
        <f>SUM($B$2:Table1[[#This Row],[ConvertedPackages]])</f>
        <v>9508</v>
      </c>
    </row>
    <row r="71" spans="1:3" x14ac:dyDescent="0.35">
      <c r="A71" s="1">
        <v>42908.06235443287</v>
      </c>
      <c r="B71">
        <v>193</v>
      </c>
      <c r="C71">
        <f>SUM($B$2:Table1[[#This Row],[ConvertedPackages]])</f>
        <v>9701</v>
      </c>
    </row>
    <row r="72" spans="1:3" x14ac:dyDescent="0.35">
      <c r="A72" s="1">
        <v>42915.06235443287</v>
      </c>
      <c r="B72">
        <v>219</v>
      </c>
      <c r="C72">
        <f>SUM($B$2:Table1[[#This Row],[ConvertedPackages]])</f>
        <v>9920</v>
      </c>
    </row>
    <row r="73" spans="1:3" x14ac:dyDescent="0.35">
      <c r="A73" s="1">
        <v>42922.06235443287</v>
      </c>
      <c r="B73">
        <v>264</v>
      </c>
      <c r="C73">
        <f>SUM($B$2:Table1[[#This Row],[ConvertedPackages]])</f>
        <v>10184</v>
      </c>
    </row>
    <row r="74" spans="1:3" x14ac:dyDescent="0.35">
      <c r="A74" s="1">
        <v>42929.06235443287</v>
      </c>
      <c r="B74">
        <v>291</v>
      </c>
      <c r="C74">
        <f>SUM($B$2:Table1[[#This Row],[ConvertedPackages]])</f>
        <v>10475</v>
      </c>
    </row>
    <row r="75" spans="1:3" x14ac:dyDescent="0.35">
      <c r="A75" s="1">
        <v>42936.06235443287</v>
      </c>
      <c r="B75">
        <v>240</v>
      </c>
      <c r="C75">
        <f>SUM($B$2:Table1[[#This Row],[ConvertedPackages]])</f>
        <v>10715</v>
      </c>
    </row>
    <row r="76" spans="1:3" x14ac:dyDescent="0.35">
      <c r="A76" s="1">
        <v>42943.06235443287</v>
      </c>
      <c r="B76">
        <v>199</v>
      </c>
      <c r="C76">
        <f>SUM($B$2:Table1[[#This Row],[ConvertedPackages]])</f>
        <v>10914</v>
      </c>
    </row>
    <row r="77" spans="1:3" x14ac:dyDescent="0.35">
      <c r="A77" s="1">
        <v>42950.06235443287</v>
      </c>
      <c r="B77">
        <v>203</v>
      </c>
      <c r="C77">
        <f>SUM($B$2:Table1[[#This Row],[ConvertedPackages]])</f>
        <v>11117</v>
      </c>
    </row>
    <row r="78" spans="1:3" x14ac:dyDescent="0.35">
      <c r="A78" s="1">
        <v>42957.06235443287</v>
      </c>
      <c r="B78">
        <v>343</v>
      </c>
      <c r="C78">
        <f>SUM($B$2:Table1[[#This Row],[ConvertedPackages]])</f>
        <v>11460</v>
      </c>
    </row>
    <row r="79" spans="1:3" x14ac:dyDescent="0.35">
      <c r="A79" s="1">
        <v>42964.06235443287</v>
      </c>
      <c r="B79">
        <v>305</v>
      </c>
      <c r="C79">
        <f>SUM($B$2:Table1[[#This Row],[ConvertedPackages]])</f>
        <v>11765</v>
      </c>
    </row>
    <row r="80" spans="1:3" x14ac:dyDescent="0.35">
      <c r="A80" s="1">
        <v>42971.06235443287</v>
      </c>
      <c r="B80">
        <v>396</v>
      </c>
      <c r="C80">
        <f>SUM($B$2:Table1[[#This Row],[ConvertedPackages]])</f>
        <v>12161</v>
      </c>
    </row>
    <row r="81" spans="1:3" x14ac:dyDescent="0.35">
      <c r="A81" s="1">
        <v>42978.06235443287</v>
      </c>
      <c r="B81">
        <v>367</v>
      </c>
      <c r="C81">
        <f>SUM($B$2:Table1[[#This Row],[ConvertedPackages]])</f>
        <v>12528</v>
      </c>
    </row>
    <row r="82" spans="1:3" x14ac:dyDescent="0.35">
      <c r="A82" s="1">
        <v>42985.06235443287</v>
      </c>
      <c r="B82">
        <v>318</v>
      </c>
      <c r="C82">
        <f>SUM($B$2:Table1[[#This Row],[ConvertedPackages]])</f>
        <v>12846</v>
      </c>
    </row>
    <row r="83" spans="1:3" x14ac:dyDescent="0.35">
      <c r="A83" s="1">
        <v>42992.06235443287</v>
      </c>
      <c r="B83">
        <v>291</v>
      </c>
      <c r="C83">
        <f>SUM($B$2:Table1[[#This Row],[ConvertedPackages]])</f>
        <v>13137</v>
      </c>
    </row>
    <row r="84" spans="1:3" x14ac:dyDescent="0.35">
      <c r="A84" s="1">
        <v>42999.06235443287</v>
      </c>
      <c r="B84">
        <v>297</v>
      </c>
      <c r="C84">
        <f>SUM($B$2:Table1[[#This Row],[ConvertedPackages]])</f>
        <v>13434</v>
      </c>
    </row>
    <row r="85" spans="1:3" x14ac:dyDescent="0.35">
      <c r="A85" s="1">
        <v>43006.06235443287</v>
      </c>
      <c r="B85">
        <v>346</v>
      </c>
      <c r="C85">
        <f>SUM($B$2:Table1[[#This Row],[ConvertedPackages]])</f>
        <v>13780</v>
      </c>
    </row>
    <row r="86" spans="1:3" x14ac:dyDescent="0.35">
      <c r="A86" s="1">
        <v>43013.06235443287</v>
      </c>
      <c r="B86">
        <v>330</v>
      </c>
      <c r="C86">
        <f>SUM($B$2:Table1[[#This Row],[ConvertedPackages]])</f>
        <v>14110</v>
      </c>
    </row>
    <row r="87" spans="1:3" x14ac:dyDescent="0.35">
      <c r="A87" s="1">
        <v>43020.06235443287</v>
      </c>
      <c r="B87">
        <v>449</v>
      </c>
      <c r="C87">
        <f>SUM($B$2:Table1[[#This Row],[ConvertedPackages]])</f>
        <v>14559</v>
      </c>
    </row>
    <row r="88" spans="1:3" x14ac:dyDescent="0.35">
      <c r="A88" s="1">
        <v>43027.06235443287</v>
      </c>
      <c r="B88">
        <v>344</v>
      </c>
      <c r="C88">
        <f>SUM($B$2:Table1[[#This Row],[ConvertedPackages]])</f>
        <v>14903</v>
      </c>
    </row>
    <row r="89" spans="1:3" x14ac:dyDescent="0.35">
      <c r="A89" s="1">
        <v>43034.06235443287</v>
      </c>
      <c r="B89">
        <v>283</v>
      </c>
      <c r="C89">
        <f>SUM($B$2:Table1[[#This Row],[ConvertedPackages]])</f>
        <v>15186</v>
      </c>
    </row>
    <row r="90" spans="1:3" x14ac:dyDescent="0.35">
      <c r="A90" s="1">
        <v>43041.06235443287</v>
      </c>
      <c r="B90">
        <v>322</v>
      </c>
      <c r="C90">
        <f>SUM($B$2:Table1[[#This Row],[ConvertedPackages]])</f>
        <v>15508</v>
      </c>
    </row>
    <row r="91" spans="1:3" x14ac:dyDescent="0.35">
      <c r="A91" s="1">
        <v>43048.06235443287</v>
      </c>
      <c r="B91">
        <v>351</v>
      </c>
      <c r="C91">
        <f>SUM($B$2:Table1[[#This Row],[ConvertedPackages]])</f>
        <v>15859</v>
      </c>
    </row>
    <row r="92" spans="1:3" x14ac:dyDescent="0.35">
      <c r="A92" s="1">
        <v>43055.06235443287</v>
      </c>
      <c r="B92">
        <v>382</v>
      </c>
      <c r="C92">
        <f>SUM($B$2:Table1[[#This Row],[ConvertedPackages]])</f>
        <v>16241</v>
      </c>
    </row>
    <row r="93" spans="1:3" x14ac:dyDescent="0.35">
      <c r="A93" s="1">
        <v>43062.06235443287</v>
      </c>
      <c r="B93">
        <v>379</v>
      </c>
      <c r="C93">
        <f>SUM($B$2:Table1[[#This Row],[ConvertedPackages]])</f>
        <v>16620</v>
      </c>
    </row>
    <row r="94" spans="1:3" x14ac:dyDescent="0.35">
      <c r="A94" s="1">
        <v>43069.06235443287</v>
      </c>
      <c r="B94">
        <v>364</v>
      </c>
      <c r="C94">
        <f>SUM($B$2:Table1[[#This Row],[ConvertedPackages]])</f>
        <v>16984</v>
      </c>
    </row>
    <row r="95" spans="1:3" x14ac:dyDescent="0.35">
      <c r="A95" s="1">
        <v>43076.06235443287</v>
      </c>
      <c r="B95">
        <v>350</v>
      </c>
      <c r="C95">
        <f>SUM($B$2:Table1[[#This Row],[ConvertedPackages]])</f>
        <v>17334</v>
      </c>
    </row>
    <row r="96" spans="1:3" x14ac:dyDescent="0.35">
      <c r="A96" s="1">
        <v>43083.06235443287</v>
      </c>
      <c r="B96">
        <v>415</v>
      </c>
      <c r="C96">
        <f>SUM($B$2:Table1[[#This Row],[ConvertedPackages]])</f>
        <v>17749</v>
      </c>
    </row>
    <row r="97" spans="1:3" x14ac:dyDescent="0.35">
      <c r="A97" s="1">
        <v>43090.06235443287</v>
      </c>
      <c r="B97">
        <v>260</v>
      </c>
      <c r="C97">
        <f>SUM($B$2:Table1[[#This Row],[ConvertedPackages]])</f>
        <v>18009</v>
      </c>
    </row>
    <row r="98" spans="1:3" x14ac:dyDescent="0.35">
      <c r="A98" s="1">
        <v>43097.06235443287</v>
      </c>
      <c r="B98">
        <v>306</v>
      </c>
      <c r="C98">
        <f>SUM($B$2:Table1[[#This Row],[ConvertedPackages]])</f>
        <v>18315</v>
      </c>
    </row>
    <row r="99" spans="1:3" x14ac:dyDescent="0.35">
      <c r="A99" s="1">
        <v>43104.06235443287</v>
      </c>
      <c r="B99">
        <v>341</v>
      </c>
      <c r="C99">
        <f>SUM($B$2:Table1[[#This Row],[ConvertedPackages]])</f>
        <v>18656</v>
      </c>
    </row>
    <row r="100" spans="1:3" x14ac:dyDescent="0.35">
      <c r="A100" s="1">
        <v>43111.06235443287</v>
      </c>
      <c r="B100">
        <v>321</v>
      </c>
      <c r="C100">
        <f>SUM($B$2:Table1[[#This Row],[ConvertedPackages]])</f>
        <v>18977</v>
      </c>
    </row>
    <row r="101" spans="1:3" x14ac:dyDescent="0.35">
      <c r="A101" s="1">
        <v>43118.06235443287</v>
      </c>
      <c r="B101">
        <v>1151</v>
      </c>
      <c r="C101">
        <f>SUM($B$2:Table1[[#This Row],[ConvertedPackages]])</f>
        <v>20128</v>
      </c>
    </row>
    <row r="102" spans="1:3" x14ac:dyDescent="0.35">
      <c r="A102" s="1">
        <v>43125.06235443287</v>
      </c>
      <c r="B102">
        <v>375</v>
      </c>
      <c r="C102">
        <f>SUM($B$2:Table1[[#This Row],[ConvertedPackages]])</f>
        <v>20503</v>
      </c>
    </row>
    <row r="103" spans="1:3" x14ac:dyDescent="0.35">
      <c r="A103" s="1">
        <v>43132.06235443287</v>
      </c>
      <c r="B103">
        <v>429</v>
      </c>
      <c r="C103">
        <f>SUM($B$2:Table1[[#This Row],[ConvertedPackages]])</f>
        <v>20932</v>
      </c>
    </row>
    <row r="104" spans="1:3" x14ac:dyDescent="0.35">
      <c r="A104" s="1">
        <v>43139.06235443287</v>
      </c>
      <c r="B104">
        <v>472</v>
      </c>
      <c r="C104">
        <f>SUM($B$2:Table1[[#This Row],[ConvertedPackages]])</f>
        <v>21404</v>
      </c>
    </row>
    <row r="105" spans="1:3" x14ac:dyDescent="0.35">
      <c r="A105" s="1">
        <v>43146.06235443287</v>
      </c>
      <c r="B105">
        <v>423</v>
      </c>
      <c r="C105">
        <f>SUM($B$2:Table1[[#This Row],[ConvertedPackages]])</f>
        <v>21827</v>
      </c>
    </row>
    <row r="106" spans="1:3" x14ac:dyDescent="0.35">
      <c r="A106" s="1">
        <v>43153.06235443287</v>
      </c>
      <c r="B106">
        <v>485</v>
      </c>
      <c r="C106">
        <f>SUM($B$2:Table1[[#This Row],[ConvertedPackages]])</f>
        <v>22312</v>
      </c>
    </row>
    <row r="107" spans="1:3" x14ac:dyDescent="0.35">
      <c r="A107" s="1">
        <v>43160.06235443287</v>
      </c>
      <c r="B107">
        <v>418</v>
      </c>
      <c r="C107">
        <f>SUM($B$2:Table1[[#This Row],[ConvertedPackages]])</f>
        <v>22730</v>
      </c>
    </row>
    <row r="108" spans="1:3" x14ac:dyDescent="0.35">
      <c r="A108" s="1">
        <v>43167.06235443287</v>
      </c>
      <c r="B108">
        <v>415</v>
      </c>
      <c r="C108">
        <f>SUM($B$2:Table1[[#This Row],[ConvertedPackages]])</f>
        <v>23145</v>
      </c>
    </row>
    <row r="109" spans="1:3" x14ac:dyDescent="0.35">
      <c r="A109" s="1">
        <v>43174.06235443287</v>
      </c>
      <c r="B109">
        <v>471</v>
      </c>
      <c r="C109">
        <f>SUM($B$2:Table1[[#This Row],[ConvertedPackages]])</f>
        <v>23616</v>
      </c>
    </row>
    <row r="110" spans="1:3" x14ac:dyDescent="0.35">
      <c r="A110" s="1">
        <v>43181.06235443287</v>
      </c>
      <c r="B110">
        <v>461</v>
      </c>
      <c r="C110">
        <f>SUM($B$2:Table1[[#This Row],[ConvertedPackages]])</f>
        <v>24077</v>
      </c>
    </row>
    <row r="111" spans="1:3" x14ac:dyDescent="0.35">
      <c r="A111" s="1">
        <v>43188.06235443287</v>
      </c>
      <c r="B111">
        <v>422</v>
      </c>
      <c r="C111">
        <f>SUM($B$2:Table1[[#This Row],[ConvertedPackages]])</f>
        <v>24499</v>
      </c>
    </row>
    <row r="112" spans="1:3" x14ac:dyDescent="0.35">
      <c r="A112" s="1">
        <v>43195.06235443287</v>
      </c>
      <c r="B112">
        <v>448</v>
      </c>
      <c r="C112">
        <f>SUM($B$2:Table1[[#This Row],[ConvertedPackages]])</f>
        <v>24947</v>
      </c>
    </row>
    <row r="113" spans="1:3" x14ac:dyDescent="0.35">
      <c r="A113" s="1">
        <v>43202.06235443287</v>
      </c>
      <c r="B113">
        <v>473</v>
      </c>
      <c r="C113">
        <f>SUM($B$2:Table1[[#This Row],[ConvertedPackages]])</f>
        <v>25420</v>
      </c>
    </row>
    <row r="114" spans="1:3" x14ac:dyDescent="0.35">
      <c r="A114" s="1">
        <v>43209.06235443287</v>
      </c>
      <c r="B114">
        <v>451</v>
      </c>
      <c r="C114">
        <f>SUM($B$2:Table1[[#This Row],[ConvertedPackages]])</f>
        <v>25871</v>
      </c>
    </row>
    <row r="115" spans="1:3" x14ac:dyDescent="0.35">
      <c r="A115" s="1">
        <v>43216.06235443287</v>
      </c>
      <c r="B115">
        <v>381</v>
      </c>
      <c r="C115">
        <f>SUM($B$2:Table1[[#This Row],[ConvertedPackages]])</f>
        <v>26252</v>
      </c>
    </row>
    <row r="116" spans="1:3" x14ac:dyDescent="0.35">
      <c r="A116" s="1">
        <v>43223.06235443287</v>
      </c>
      <c r="B116">
        <v>461</v>
      </c>
      <c r="C116">
        <f>SUM($B$2:Table1[[#This Row],[ConvertedPackages]])</f>
        <v>26713</v>
      </c>
    </row>
    <row r="117" spans="1:3" x14ac:dyDescent="0.35">
      <c r="A117" s="1">
        <v>43230.06235443287</v>
      </c>
      <c r="B117">
        <v>420</v>
      </c>
      <c r="C117">
        <f>SUM($B$2:Table1[[#This Row],[ConvertedPackages]])</f>
        <v>27133</v>
      </c>
    </row>
    <row r="118" spans="1:3" x14ac:dyDescent="0.35">
      <c r="A118" s="1">
        <v>43237.06235443287</v>
      </c>
      <c r="B118">
        <v>610</v>
      </c>
      <c r="C118">
        <f>SUM($B$2:Table1[[#This Row],[ConvertedPackages]])</f>
        <v>27743</v>
      </c>
    </row>
    <row r="119" spans="1:3" x14ac:dyDescent="0.35">
      <c r="A119" s="1">
        <v>43244.06235443287</v>
      </c>
      <c r="B119">
        <v>592</v>
      </c>
      <c r="C119">
        <f>SUM($B$2:Table1[[#This Row],[ConvertedPackages]])</f>
        <v>28335</v>
      </c>
    </row>
    <row r="120" spans="1:3" x14ac:dyDescent="0.35">
      <c r="A120" s="1">
        <v>43251.06235443287</v>
      </c>
      <c r="B120">
        <v>598</v>
      </c>
      <c r="C120">
        <f>SUM($B$2:Table1[[#This Row],[ConvertedPackages]])</f>
        <v>28933</v>
      </c>
    </row>
    <row r="121" spans="1:3" x14ac:dyDescent="0.35">
      <c r="A121" s="1">
        <v>43258.06235443287</v>
      </c>
      <c r="B121">
        <v>376</v>
      </c>
      <c r="C121">
        <f>SUM($B$2:Table1[[#This Row],[ConvertedPackages]])</f>
        <v>29309</v>
      </c>
    </row>
    <row r="122" spans="1:3" x14ac:dyDescent="0.35">
      <c r="A122" s="1">
        <v>43265.06235443287</v>
      </c>
      <c r="B122">
        <v>415</v>
      </c>
      <c r="C122">
        <f>SUM($B$2:Table1[[#This Row],[ConvertedPackages]])</f>
        <v>29724</v>
      </c>
    </row>
    <row r="123" spans="1:3" x14ac:dyDescent="0.35">
      <c r="A123" s="1">
        <v>43272.06235443287</v>
      </c>
      <c r="B123">
        <v>621</v>
      </c>
      <c r="C123">
        <f>SUM($B$2:Table1[[#This Row],[ConvertedPackages]])</f>
        <v>30345</v>
      </c>
    </row>
    <row r="124" spans="1:3" x14ac:dyDescent="0.35">
      <c r="A124" s="1">
        <v>43279.06235443287</v>
      </c>
      <c r="B124">
        <v>460</v>
      </c>
      <c r="C124">
        <f>SUM($B$2:Table1[[#This Row],[ConvertedPackages]])</f>
        <v>30805</v>
      </c>
    </row>
    <row r="125" spans="1:3" x14ac:dyDescent="0.35">
      <c r="A125" s="1">
        <v>43286.06235443287</v>
      </c>
      <c r="B125">
        <v>470</v>
      </c>
      <c r="C125">
        <f>SUM($B$2:Table1[[#This Row],[ConvertedPackages]])</f>
        <v>31275</v>
      </c>
    </row>
    <row r="126" spans="1:3" x14ac:dyDescent="0.35">
      <c r="A126" s="1">
        <v>43293.06235443287</v>
      </c>
      <c r="B126">
        <v>495</v>
      </c>
      <c r="C126">
        <f>SUM($B$2:Table1[[#This Row],[ConvertedPackages]])</f>
        <v>31770</v>
      </c>
    </row>
    <row r="127" spans="1:3" x14ac:dyDescent="0.35">
      <c r="A127" s="1">
        <v>43300.06235443287</v>
      </c>
      <c r="B127">
        <v>454</v>
      </c>
      <c r="C127">
        <f>SUM($B$2:Table1[[#This Row],[ConvertedPackages]])</f>
        <v>32224</v>
      </c>
    </row>
    <row r="128" spans="1:3" x14ac:dyDescent="0.35">
      <c r="A128" s="1">
        <v>43307.06235443287</v>
      </c>
      <c r="B128">
        <v>529</v>
      </c>
      <c r="C128">
        <f>SUM($B$2:Table1[[#This Row],[ConvertedPackages]])</f>
        <v>32753</v>
      </c>
    </row>
    <row r="129" spans="1:3" x14ac:dyDescent="0.35">
      <c r="A129" s="1">
        <v>43314.06235443287</v>
      </c>
      <c r="B129">
        <v>419</v>
      </c>
      <c r="C129">
        <f>SUM($B$2:Table1[[#This Row],[ConvertedPackages]])</f>
        <v>33172</v>
      </c>
    </row>
    <row r="130" spans="1:3" x14ac:dyDescent="0.35">
      <c r="A130" s="1">
        <v>43321.06235443287</v>
      </c>
      <c r="B130">
        <v>441</v>
      </c>
      <c r="C130">
        <f>SUM($B$2:Table1[[#This Row],[ConvertedPackages]])</f>
        <v>33613</v>
      </c>
    </row>
    <row r="131" spans="1:3" x14ac:dyDescent="0.35">
      <c r="A131" s="1">
        <v>43328.06235443287</v>
      </c>
      <c r="B131">
        <v>472</v>
      </c>
      <c r="C131">
        <f>SUM($B$2:Table1[[#This Row],[ConvertedPackages]])</f>
        <v>34085</v>
      </c>
    </row>
    <row r="132" spans="1:3" x14ac:dyDescent="0.35">
      <c r="A132" s="1">
        <v>43335.06235443287</v>
      </c>
      <c r="B132">
        <v>414</v>
      </c>
      <c r="C132">
        <f>SUM($B$2:Table1[[#This Row],[ConvertedPackages]])</f>
        <v>34499</v>
      </c>
    </row>
    <row r="133" spans="1:3" x14ac:dyDescent="0.35">
      <c r="A133" s="1">
        <v>43342.06235443287</v>
      </c>
      <c r="B133">
        <v>470</v>
      </c>
      <c r="C133">
        <f>SUM($B$2:Table1[[#This Row],[ConvertedPackages]])</f>
        <v>34969</v>
      </c>
    </row>
    <row r="134" spans="1:3" x14ac:dyDescent="0.35">
      <c r="A134" s="1">
        <v>43349.06235443287</v>
      </c>
      <c r="B134">
        <v>569</v>
      </c>
      <c r="C134">
        <f>SUM($B$2:Table1[[#This Row],[ConvertedPackages]])</f>
        <v>35538</v>
      </c>
    </row>
    <row r="135" spans="1:3" x14ac:dyDescent="0.35">
      <c r="A135" s="1">
        <v>43356.06235443287</v>
      </c>
      <c r="B135">
        <v>474</v>
      </c>
      <c r="C135">
        <f>SUM($B$2:Table1[[#This Row],[ConvertedPackages]])</f>
        <v>36012</v>
      </c>
    </row>
    <row r="136" spans="1:3" x14ac:dyDescent="0.35">
      <c r="A136" s="1">
        <v>43363.06235443287</v>
      </c>
      <c r="B136">
        <v>522</v>
      </c>
      <c r="C136">
        <f>SUM($B$2:Table1[[#This Row],[ConvertedPackages]])</f>
        <v>36534</v>
      </c>
    </row>
    <row r="137" spans="1:3" x14ac:dyDescent="0.35">
      <c r="A137" s="1">
        <v>43370.06235443287</v>
      </c>
      <c r="B137">
        <v>441</v>
      </c>
      <c r="C137">
        <f>SUM($B$2:Table1[[#This Row],[ConvertedPackages]])</f>
        <v>36975</v>
      </c>
    </row>
    <row r="138" spans="1:3" x14ac:dyDescent="0.35">
      <c r="A138" s="1">
        <v>43377.06235443287</v>
      </c>
      <c r="B138">
        <v>454</v>
      </c>
      <c r="C138">
        <f>SUM($B$2:Table1[[#This Row],[ConvertedPackages]])</f>
        <v>37429</v>
      </c>
    </row>
    <row r="139" spans="1:3" x14ac:dyDescent="0.35">
      <c r="A139" s="1">
        <v>43384.06235443287</v>
      </c>
      <c r="B139">
        <v>536</v>
      </c>
      <c r="C139">
        <f>SUM($B$2:Table1[[#This Row],[ConvertedPackages]])</f>
        <v>37965</v>
      </c>
    </row>
    <row r="140" spans="1:3" x14ac:dyDescent="0.35">
      <c r="A140" s="1">
        <v>43391.06235443287</v>
      </c>
      <c r="B140">
        <v>519</v>
      </c>
      <c r="C140">
        <f>SUM($B$2:Table1[[#This Row],[ConvertedPackages]])</f>
        <v>38484</v>
      </c>
    </row>
    <row r="141" spans="1:3" x14ac:dyDescent="0.35">
      <c r="A141" s="1">
        <v>43398.06235443287</v>
      </c>
      <c r="B141">
        <v>557</v>
      </c>
      <c r="C141">
        <f>SUM($B$2:Table1[[#This Row],[ConvertedPackages]])</f>
        <v>39041</v>
      </c>
    </row>
    <row r="142" spans="1:3" x14ac:dyDescent="0.35">
      <c r="A142" s="1">
        <v>43405.06235443287</v>
      </c>
      <c r="B142">
        <v>533</v>
      </c>
      <c r="C142">
        <f>SUM($B$2:Table1[[#This Row],[ConvertedPackages]])</f>
        <v>39574</v>
      </c>
    </row>
    <row r="143" spans="1:3" x14ac:dyDescent="0.35">
      <c r="A143" s="1">
        <v>43412.06235443287</v>
      </c>
      <c r="B143">
        <v>497</v>
      </c>
      <c r="C143">
        <f>SUM($B$2:Table1[[#This Row],[ConvertedPackages]])</f>
        <v>40071</v>
      </c>
    </row>
    <row r="144" spans="1:3" x14ac:dyDescent="0.35">
      <c r="A144" s="1">
        <v>43419.06235443287</v>
      </c>
      <c r="B144">
        <v>491</v>
      </c>
      <c r="C144">
        <f>SUM($B$2:Table1[[#This Row],[ConvertedPackages]])</f>
        <v>40562</v>
      </c>
    </row>
    <row r="145" spans="1:3" x14ac:dyDescent="0.35">
      <c r="A145" s="1">
        <v>43426.06235443287</v>
      </c>
      <c r="B145">
        <v>490</v>
      </c>
      <c r="C145">
        <f>SUM($B$2:Table1[[#This Row],[ConvertedPackages]])</f>
        <v>41052</v>
      </c>
    </row>
    <row r="146" spans="1:3" x14ac:dyDescent="0.35">
      <c r="A146" s="1">
        <v>43433.06235443287</v>
      </c>
      <c r="B146">
        <v>607</v>
      </c>
      <c r="C146">
        <f>SUM($B$2:Table1[[#This Row],[ConvertedPackages]])</f>
        <v>41659</v>
      </c>
    </row>
    <row r="147" spans="1:3" x14ac:dyDescent="0.35">
      <c r="A147" s="1">
        <v>43440.06235443287</v>
      </c>
      <c r="B147">
        <v>522</v>
      </c>
      <c r="C147">
        <f>SUM($B$2:Table1[[#This Row],[ConvertedPackages]])</f>
        <v>42181</v>
      </c>
    </row>
    <row r="148" spans="1:3" x14ac:dyDescent="0.35">
      <c r="A148" s="1">
        <v>43447.06235443287</v>
      </c>
      <c r="B148">
        <v>505</v>
      </c>
      <c r="C148">
        <f>SUM($B$2:Table1[[#This Row],[ConvertedPackages]])</f>
        <v>42686</v>
      </c>
    </row>
    <row r="149" spans="1:3" x14ac:dyDescent="0.35">
      <c r="A149" s="1">
        <v>43454.06235443287</v>
      </c>
      <c r="B149">
        <v>434</v>
      </c>
      <c r="C149">
        <f>SUM($B$2:Table1[[#This Row],[ConvertedPackages]])</f>
        <v>43120</v>
      </c>
    </row>
    <row r="150" spans="1:3" x14ac:dyDescent="0.35">
      <c r="A150" s="1">
        <v>43461.06235443287</v>
      </c>
      <c r="B150">
        <v>407</v>
      </c>
      <c r="C150">
        <f>SUM($B$2:Table1[[#This Row],[ConvertedPackages]])</f>
        <v>43527</v>
      </c>
    </row>
    <row r="151" spans="1:3" x14ac:dyDescent="0.35">
      <c r="A151" s="1">
        <v>43468.06235443287</v>
      </c>
      <c r="B151">
        <v>523</v>
      </c>
      <c r="C151">
        <f>SUM($B$2:Table1[[#This Row],[ConvertedPackages]])</f>
        <v>44050</v>
      </c>
    </row>
    <row r="152" spans="1:3" x14ac:dyDescent="0.35">
      <c r="A152" s="1">
        <v>43475.06235443287</v>
      </c>
      <c r="B152">
        <v>706</v>
      </c>
      <c r="C152">
        <f>SUM($B$2:Table1[[#This Row],[ConvertedPackages]])</f>
        <v>44756</v>
      </c>
    </row>
    <row r="153" spans="1:3" x14ac:dyDescent="0.35">
      <c r="A153" s="1">
        <v>43482.06235443287</v>
      </c>
      <c r="B153">
        <v>510</v>
      </c>
      <c r="C153">
        <f>SUM($B$2:Table1[[#This Row],[ConvertedPackages]])</f>
        <v>45266</v>
      </c>
    </row>
    <row r="154" spans="1:3" x14ac:dyDescent="0.35">
      <c r="A154" s="1">
        <v>43489.06235443287</v>
      </c>
      <c r="B154">
        <v>421</v>
      </c>
      <c r="C154">
        <f>SUM($B$2:Table1[[#This Row],[ConvertedPackages]])</f>
        <v>45687</v>
      </c>
    </row>
    <row r="155" spans="1:3" x14ac:dyDescent="0.35">
      <c r="A155" s="1">
        <v>43496.06235443287</v>
      </c>
      <c r="B155">
        <v>524</v>
      </c>
      <c r="C155">
        <f>SUM($B$2:Table1[[#This Row],[ConvertedPackages]])</f>
        <v>46211</v>
      </c>
    </row>
    <row r="156" spans="1:3" x14ac:dyDescent="0.35">
      <c r="A156" s="1">
        <v>43503.06235443287</v>
      </c>
      <c r="B156">
        <v>440</v>
      </c>
      <c r="C156">
        <f>SUM($B$2:Table1[[#This Row],[ConvertedPackages]])</f>
        <v>46651</v>
      </c>
    </row>
    <row r="157" spans="1:3" x14ac:dyDescent="0.35">
      <c r="A157" s="1">
        <v>43510.06235443287</v>
      </c>
      <c r="B157">
        <v>580</v>
      </c>
      <c r="C157">
        <f>SUM($B$2:Table1[[#This Row],[ConvertedPackages]])</f>
        <v>47231</v>
      </c>
    </row>
    <row r="158" spans="1:3" x14ac:dyDescent="0.35">
      <c r="A158" s="1">
        <v>43517.06235443287</v>
      </c>
      <c r="B158">
        <v>521</v>
      </c>
      <c r="C158">
        <f>SUM($B$2:Table1[[#This Row],[ConvertedPackages]])</f>
        <v>47752</v>
      </c>
    </row>
    <row r="159" spans="1:3" x14ac:dyDescent="0.35">
      <c r="A159" s="1">
        <v>43524.06235443287</v>
      </c>
      <c r="B159">
        <v>619</v>
      </c>
      <c r="C159">
        <f>SUM($B$2:Table1[[#This Row],[ConvertedPackages]])</f>
        <v>48371</v>
      </c>
    </row>
    <row r="160" spans="1:3" x14ac:dyDescent="0.35">
      <c r="A160" s="1">
        <v>43531.06235443287</v>
      </c>
      <c r="B160">
        <v>644</v>
      </c>
      <c r="C160">
        <f>SUM($B$2:Table1[[#This Row],[ConvertedPackages]])</f>
        <v>49015</v>
      </c>
    </row>
    <row r="161" spans="1:3" x14ac:dyDescent="0.35">
      <c r="A161" s="1">
        <v>43538.06235443287</v>
      </c>
      <c r="B161">
        <v>596</v>
      </c>
      <c r="C161">
        <f>SUM($B$2:Table1[[#This Row],[ConvertedPackages]])</f>
        <v>49611</v>
      </c>
    </row>
    <row r="162" spans="1:3" x14ac:dyDescent="0.35">
      <c r="A162" s="1">
        <v>43545.06235443287</v>
      </c>
      <c r="B162">
        <v>583</v>
      </c>
      <c r="C162">
        <f>SUM($B$2:Table1[[#This Row],[ConvertedPackages]])</f>
        <v>50194</v>
      </c>
    </row>
    <row r="163" spans="1:3" x14ac:dyDescent="0.35">
      <c r="A163" s="1">
        <v>43552.06235443287</v>
      </c>
      <c r="B163">
        <v>372</v>
      </c>
      <c r="C163">
        <f>SUM($B$2:Table1[[#This Row],[ConvertedPackages]])</f>
        <v>50566</v>
      </c>
    </row>
    <row r="164" spans="1:3" x14ac:dyDescent="0.35">
      <c r="A164" s="1">
        <v>43559.06235443287</v>
      </c>
      <c r="B164">
        <v>551</v>
      </c>
      <c r="C164">
        <f>SUM($B$2:Table1[[#This Row],[ConvertedPackages]])</f>
        <v>51117</v>
      </c>
    </row>
    <row r="165" spans="1:3" x14ac:dyDescent="0.35">
      <c r="A165" s="1">
        <v>43566.06235443287</v>
      </c>
      <c r="B165">
        <v>648</v>
      </c>
      <c r="C165">
        <f>SUM($B$2:Table1[[#This Row],[ConvertedPackages]])</f>
        <v>51765</v>
      </c>
    </row>
    <row r="166" spans="1:3" x14ac:dyDescent="0.35">
      <c r="A166" s="1">
        <v>43573.06235443287</v>
      </c>
      <c r="B166">
        <v>804</v>
      </c>
      <c r="C166">
        <f>SUM($B$2:Table1[[#This Row],[ConvertedPackages]])</f>
        <v>52569</v>
      </c>
    </row>
    <row r="167" spans="1:3" x14ac:dyDescent="0.35">
      <c r="A167" s="1">
        <v>43580.06235443287</v>
      </c>
      <c r="B167">
        <v>521</v>
      </c>
      <c r="C167">
        <f>SUM($B$2:Table1[[#This Row],[ConvertedPackages]])</f>
        <v>53090</v>
      </c>
    </row>
    <row r="168" spans="1:3" x14ac:dyDescent="0.35">
      <c r="A168" s="1">
        <v>43587.06235443287</v>
      </c>
      <c r="B168">
        <v>522</v>
      </c>
      <c r="C168">
        <f>SUM($B$2:Table1[[#This Row],[ConvertedPackages]])</f>
        <v>53612</v>
      </c>
    </row>
    <row r="169" spans="1:3" x14ac:dyDescent="0.35">
      <c r="A169" s="1">
        <v>43594.06235443287</v>
      </c>
      <c r="B169">
        <v>862</v>
      </c>
      <c r="C169">
        <f>SUM($B$2:Table1[[#This Row],[ConvertedPackages]])</f>
        <v>54474</v>
      </c>
    </row>
    <row r="170" spans="1:3" x14ac:dyDescent="0.35">
      <c r="A170" s="1">
        <v>43601.06235443287</v>
      </c>
      <c r="B170">
        <v>773</v>
      </c>
      <c r="C170">
        <f>SUM($B$2:Table1[[#This Row],[ConvertedPackages]])</f>
        <v>55247</v>
      </c>
    </row>
    <row r="171" spans="1:3" x14ac:dyDescent="0.35">
      <c r="A171" s="1">
        <v>43608.06235443287</v>
      </c>
      <c r="B171">
        <v>595</v>
      </c>
      <c r="C171">
        <f>SUM($B$2:Table1[[#This Row],[ConvertedPackages]])</f>
        <v>55842</v>
      </c>
    </row>
    <row r="172" spans="1:3" x14ac:dyDescent="0.35">
      <c r="A172" s="1">
        <v>43615.06235443287</v>
      </c>
      <c r="B172">
        <v>539</v>
      </c>
      <c r="C172">
        <f>SUM($B$2:Table1[[#This Row],[ConvertedPackages]])</f>
        <v>56381</v>
      </c>
    </row>
    <row r="173" spans="1:3" x14ac:dyDescent="0.35">
      <c r="A173" s="1">
        <v>43622.06235443287</v>
      </c>
      <c r="B173">
        <v>583</v>
      </c>
      <c r="C173">
        <f>SUM($B$2:Table1[[#This Row],[ConvertedPackages]])</f>
        <v>56964</v>
      </c>
    </row>
    <row r="174" spans="1:3" x14ac:dyDescent="0.35">
      <c r="A174" s="1">
        <v>43629.06235443287</v>
      </c>
      <c r="B174">
        <v>575</v>
      </c>
      <c r="C174">
        <f>SUM($B$2:Table1[[#This Row],[ConvertedPackages]])</f>
        <v>57539</v>
      </c>
    </row>
    <row r="175" spans="1:3" x14ac:dyDescent="0.35">
      <c r="A175" s="1">
        <v>43636.06235443287</v>
      </c>
      <c r="B175">
        <v>732</v>
      </c>
      <c r="C175">
        <f>SUM($B$2:Table1[[#This Row],[ConvertedPackages]])</f>
        <v>58271</v>
      </c>
    </row>
    <row r="176" spans="1:3" x14ac:dyDescent="0.35">
      <c r="A176" s="1">
        <v>43643.06235443287</v>
      </c>
      <c r="B176">
        <v>530</v>
      </c>
      <c r="C176">
        <f>SUM($B$2:Table1[[#This Row],[ConvertedPackages]])</f>
        <v>58801</v>
      </c>
    </row>
    <row r="177" spans="1:3" x14ac:dyDescent="0.35">
      <c r="A177" s="1">
        <v>43650.06235443287</v>
      </c>
      <c r="B177">
        <v>533</v>
      </c>
      <c r="C177">
        <f>SUM($B$2:Table1[[#This Row],[ConvertedPackages]])</f>
        <v>59334</v>
      </c>
    </row>
    <row r="178" spans="1:3" x14ac:dyDescent="0.35">
      <c r="A178" s="1">
        <v>43657.06235443287</v>
      </c>
      <c r="B178">
        <v>587</v>
      </c>
      <c r="C178">
        <f>SUM($B$2:Table1[[#This Row],[ConvertedPackages]])</f>
        <v>59921</v>
      </c>
    </row>
    <row r="179" spans="1:3" x14ac:dyDescent="0.35">
      <c r="A179" s="1">
        <v>43664.06235443287</v>
      </c>
      <c r="B179">
        <v>572</v>
      </c>
      <c r="C179">
        <f>SUM($B$2:Table1[[#This Row],[ConvertedPackages]])</f>
        <v>60493</v>
      </c>
    </row>
    <row r="180" spans="1:3" x14ac:dyDescent="0.35">
      <c r="A180" s="1">
        <v>43671.06235443287</v>
      </c>
      <c r="B180">
        <v>529</v>
      </c>
      <c r="C180">
        <f>SUM($B$2:Table1[[#This Row],[ConvertedPackages]])</f>
        <v>61022</v>
      </c>
    </row>
    <row r="181" spans="1:3" x14ac:dyDescent="0.35">
      <c r="A181" s="1">
        <v>43678.06235443287</v>
      </c>
      <c r="B181">
        <v>518</v>
      </c>
      <c r="C181">
        <f>SUM($B$2:Table1[[#This Row],[ConvertedPackages]])</f>
        <v>61540</v>
      </c>
    </row>
    <row r="182" spans="1:3" x14ac:dyDescent="0.35">
      <c r="A182" s="1">
        <v>43685.06235443287</v>
      </c>
      <c r="B182">
        <v>564</v>
      </c>
      <c r="C182">
        <f>SUM($B$2:Table1[[#This Row],[ConvertedPackages]])</f>
        <v>62104</v>
      </c>
    </row>
    <row r="183" spans="1:3" x14ac:dyDescent="0.35">
      <c r="A183" s="1">
        <v>43692.06235443287</v>
      </c>
      <c r="B183">
        <v>487</v>
      </c>
      <c r="C183">
        <f>SUM($B$2:Table1[[#This Row],[ConvertedPackages]])</f>
        <v>62591</v>
      </c>
    </row>
    <row r="184" spans="1:3" x14ac:dyDescent="0.35">
      <c r="A184" s="1">
        <v>43699.06235443287</v>
      </c>
      <c r="B184">
        <v>562</v>
      </c>
      <c r="C184">
        <f>SUM($B$2:Table1[[#This Row],[ConvertedPackages]])</f>
        <v>63153</v>
      </c>
    </row>
    <row r="185" spans="1:3" x14ac:dyDescent="0.35">
      <c r="A185" s="1">
        <v>43706.06235443287</v>
      </c>
      <c r="B185">
        <v>503</v>
      </c>
      <c r="C185">
        <f>SUM($B$2:Table1[[#This Row],[ConvertedPackages]])</f>
        <v>63656</v>
      </c>
    </row>
    <row r="186" spans="1:3" x14ac:dyDescent="0.35">
      <c r="A186" s="1">
        <v>43713.06235443287</v>
      </c>
      <c r="B186">
        <v>594</v>
      </c>
      <c r="C186">
        <f>SUM($B$2:Table1[[#This Row],[ConvertedPackages]])</f>
        <v>64250</v>
      </c>
    </row>
    <row r="187" spans="1:3" x14ac:dyDescent="0.35">
      <c r="A187" s="1">
        <v>43720.06235443287</v>
      </c>
      <c r="B187">
        <v>528</v>
      </c>
      <c r="C187">
        <f>SUM($B$2:Table1[[#This Row],[ConvertedPackages]])</f>
        <v>64778</v>
      </c>
    </row>
    <row r="188" spans="1:3" x14ac:dyDescent="0.35">
      <c r="A188" s="1">
        <v>43727.06235443287</v>
      </c>
      <c r="B188">
        <v>602</v>
      </c>
      <c r="C188">
        <f>SUM($B$2:Table1[[#This Row],[ConvertedPackages]])</f>
        <v>65380</v>
      </c>
    </row>
    <row r="189" spans="1:3" x14ac:dyDescent="0.35">
      <c r="A189" s="1">
        <v>43734.06235443287</v>
      </c>
      <c r="B189">
        <v>606</v>
      </c>
      <c r="C189">
        <f>SUM($B$2:Table1[[#This Row],[ConvertedPackages]])</f>
        <v>65986</v>
      </c>
    </row>
    <row r="190" spans="1:3" x14ac:dyDescent="0.35">
      <c r="A190" s="1">
        <v>43741.06235443287</v>
      </c>
      <c r="B190">
        <v>555</v>
      </c>
      <c r="C190">
        <f>SUM($B$2:Table1[[#This Row],[ConvertedPackages]])</f>
        <v>66541</v>
      </c>
    </row>
    <row r="191" spans="1:3" x14ac:dyDescent="0.35">
      <c r="A191" s="1">
        <v>43748.06235443287</v>
      </c>
      <c r="B191">
        <v>474</v>
      </c>
      <c r="C191">
        <f>SUM($B$2:Table1[[#This Row],[ConvertedPackages]])</f>
        <v>67015</v>
      </c>
    </row>
    <row r="192" spans="1:3" x14ac:dyDescent="0.35">
      <c r="A192" s="1">
        <v>43755.06235443287</v>
      </c>
      <c r="B192">
        <v>613</v>
      </c>
      <c r="C192">
        <f>SUM($B$2:Table1[[#This Row],[ConvertedPackages]])</f>
        <v>67628</v>
      </c>
    </row>
    <row r="193" spans="1:3" x14ac:dyDescent="0.35">
      <c r="A193" s="1">
        <v>43762.06235443287</v>
      </c>
      <c r="B193">
        <v>670</v>
      </c>
      <c r="C193">
        <f>SUM($B$2:Table1[[#This Row],[ConvertedPackages]])</f>
        <v>68298</v>
      </c>
    </row>
    <row r="194" spans="1:3" x14ac:dyDescent="0.35">
      <c r="A194" s="1">
        <v>43769.06235443287</v>
      </c>
      <c r="B194">
        <v>420</v>
      </c>
      <c r="C194">
        <f>SUM($B$2:Table1[[#This Row],[ConvertedPackages]])</f>
        <v>68718</v>
      </c>
    </row>
    <row r="195" spans="1:3" x14ac:dyDescent="0.35">
      <c r="A195" s="1">
        <v>43776.06235443287</v>
      </c>
      <c r="B195">
        <v>4</v>
      </c>
      <c r="C195">
        <f>SUM($B$2:Table1[[#This Row],[ConvertedPackages]])</f>
        <v>68722</v>
      </c>
    </row>
    <row r="196" spans="1:3" x14ac:dyDescent="0.35">
      <c r="A196" s="1">
        <v>43783.06235443287</v>
      </c>
      <c r="B196">
        <v>7</v>
      </c>
      <c r="C196">
        <f>SUM($B$2:Table1[[#This Row],[ConvertedPackages]])</f>
        <v>68729</v>
      </c>
    </row>
    <row r="197" spans="1:3" x14ac:dyDescent="0.35">
      <c r="A197" s="1">
        <v>43790.06235443287</v>
      </c>
      <c r="B197">
        <v>12</v>
      </c>
      <c r="C197">
        <f>SUM($B$2:Table1[[#This Row],[ConvertedPackages]])</f>
        <v>68741</v>
      </c>
    </row>
    <row r="198" spans="1:3" x14ac:dyDescent="0.35">
      <c r="A198" s="1">
        <v>43797.06235443287</v>
      </c>
      <c r="B198">
        <v>17</v>
      </c>
      <c r="C198">
        <f>SUM($B$2:Table1[[#This Row],[ConvertedPackages]])</f>
        <v>68758</v>
      </c>
    </row>
    <row r="199" spans="1:3" x14ac:dyDescent="0.35">
      <c r="A199" s="1">
        <v>43804.06235443287</v>
      </c>
      <c r="B199">
        <v>10</v>
      </c>
      <c r="C199">
        <f>SUM($B$2:Table1[[#This Row],[ConvertedPackages]])</f>
        <v>68768</v>
      </c>
    </row>
    <row r="200" spans="1:3" x14ac:dyDescent="0.35">
      <c r="A200" s="1">
        <v>43811.06235443287</v>
      </c>
      <c r="B200">
        <v>10</v>
      </c>
      <c r="C200">
        <f>SUM($B$2:Table1[[#This Row],[ConvertedPackages]])</f>
        <v>68778</v>
      </c>
    </row>
    <row r="201" spans="1:3" x14ac:dyDescent="0.35">
      <c r="A201" s="1">
        <v>43818.06235443287</v>
      </c>
      <c r="B201">
        <v>9</v>
      </c>
      <c r="C201">
        <f>SUM($B$2:Table1[[#This Row],[ConvertedPackages]])</f>
        <v>68787</v>
      </c>
    </row>
    <row r="202" spans="1:3" x14ac:dyDescent="0.35">
      <c r="A202" s="1">
        <v>43825.06235443287</v>
      </c>
      <c r="B202">
        <v>4</v>
      </c>
      <c r="C202">
        <f>SUM($B$2:Table1[[#This Row],[ConvertedPackages]])</f>
        <v>68791</v>
      </c>
    </row>
    <row r="203" spans="1:3" x14ac:dyDescent="0.35">
      <c r="A203" s="1">
        <v>43832.06235443287</v>
      </c>
      <c r="B203">
        <v>11</v>
      </c>
      <c r="C203">
        <f>SUM($B$2:Table1[[#This Row],[ConvertedPackages]])</f>
        <v>68802</v>
      </c>
    </row>
    <row r="204" spans="1:3" x14ac:dyDescent="0.35">
      <c r="A204" s="1">
        <v>43839.06235443287</v>
      </c>
      <c r="B204">
        <v>16</v>
      </c>
      <c r="C204">
        <f>SUM($B$2:Table1[[#This Row],[ConvertedPackages]])</f>
        <v>68818</v>
      </c>
    </row>
    <row r="205" spans="1:3" x14ac:dyDescent="0.35">
      <c r="A205" s="1">
        <v>43846.06235443287</v>
      </c>
      <c r="B205">
        <v>28</v>
      </c>
      <c r="C205">
        <f>SUM($B$2:Table1[[#This Row],[ConvertedPackages]])</f>
        <v>68846</v>
      </c>
    </row>
    <row r="206" spans="1:3" x14ac:dyDescent="0.35">
      <c r="A206" s="1">
        <v>43853.06235443287</v>
      </c>
      <c r="B206">
        <v>931</v>
      </c>
      <c r="C206">
        <f>SUM($B$2:Table1[[#This Row],[ConvertedPackages]])</f>
        <v>69777</v>
      </c>
    </row>
    <row r="207" spans="1:3" x14ac:dyDescent="0.35">
      <c r="A207" s="1">
        <v>43860.06235443287</v>
      </c>
      <c r="B207">
        <v>993</v>
      </c>
      <c r="C207">
        <f>SUM($B$2:Table1[[#This Row],[ConvertedPackages]])</f>
        <v>70770</v>
      </c>
    </row>
    <row r="208" spans="1:3" x14ac:dyDescent="0.35">
      <c r="A208" s="1">
        <v>43867.06235443287</v>
      </c>
      <c r="B208">
        <v>793</v>
      </c>
      <c r="C208">
        <f>SUM($B$2:Table1[[#This Row],[ConvertedPackages]])</f>
        <v>71563</v>
      </c>
    </row>
    <row r="209" spans="1:3" x14ac:dyDescent="0.35">
      <c r="A209" s="1">
        <v>43874.06235443287</v>
      </c>
      <c r="B209">
        <v>917</v>
      </c>
      <c r="C209">
        <f>SUM($B$2:Table1[[#This Row],[ConvertedPackages]])</f>
        <v>72480</v>
      </c>
    </row>
    <row r="210" spans="1:3" x14ac:dyDescent="0.35">
      <c r="A210" s="1">
        <v>43881.06235443287</v>
      </c>
      <c r="B210">
        <v>908</v>
      </c>
      <c r="C210">
        <f>SUM($B$2:Table1[[#This Row],[ConvertedPackages]])</f>
        <v>73388</v>
      </c>
    </row>
    <row r="211" spans="1:3" x14ac:dyDescent="0.35">
      <c r="A211" s="1">
        <v>43888.06235443287</v>
      </c>
      <c r="B211">
        <v>712</v>
      </c>
      <c r="C211">
        <f>SUM($B$2:Table1[[#This Row],[ConvertedPackages]])</f>
        <v>74100</v>
      </c>
    </row>
    <row r="212" spans="1:3" x14ac:dyDescent="0.35">
      <c r="A212" s="1">
        <v>43895.06235443287</v>
      </c>
      <c r="B212">
        <v>923</v>
      </c>
      <c r="C212">
        <f>SUM($B$2:Table1[[#This Row],[ConvertedPackages]])</f>
        <v>75023</v>
      </c>
    </row>
    <row r="213" spans="1:3" x14ac:dyDescent="0.35">
      <c r="A213" s="1">
        <v>43902.06235443287</v>
      </c>
      <c r="B213">
        <v>721</v>
      </c>
      <c r="C213">
        <f>SUM($B$2:Table1[[#This Row],[ConvertedPackages]])</f>
        <v>75744</v>
      </c>
    </row>
    <row r="214" spans="1:3" x14ac:dyDescent="0.35">
      <c r="A214" s="1">
        <v>43909.06235443287</v>
      </c>
      <c r="B214">
        <v>751</v>
      </c>
      <c r="C214">
        <f>SUM($B$2:Table1[[#This Row],[ConvertedPackages]])</f>
        <v>76495</v>
      </c>
    </row>
    <row r="215" spans="1:3" x14ac:dyDescent="0.35">
      <c r="A215" s="1">
        <v>43916.06235443287</v>
      </c>
      <c r="B215">
        <v>940</v>
      </c>
      <c r="C215">
        <f>SUM($B$2:Table1[[#This Row],[ConvertedPackages]])</f>
        <v>77435</v>
      </c>
    </row>
    <row r="216" spans="1:3" x14ac:dyDescent="0.35">
      <c r="A216" s="1">
        <v>43923.06235443287</v>
      </c>
      <c r="B216">
        <v>755</v>
      </c>
      <c r="C216">
        <f>SUM($B$2:Table1[[#This Row],[ConvertedPackages]])</f>
        <v>78190</v>
      </c>
    </row>
    <row r="217" spans="1:3" x14ac:dyDescent="0.35">
      <c r="A217" s="1">
        <v>43930.06235443287</v>
      </c>
      <c r="B217">
        <v>734</v>
      </c>
      <c r="C217">
        <f>SUM($B$2:Table1[[#This Row],[ConvertedPackages]])</f>
        <v>78924</v>
      </c>
    </row>
    <row r="218" spans="1:3" x14ac:dyDescent="0.35">
      <c r="A218" s="1">
        <v>43937.06235443287</v>
      </c>
      <c r="B218">
        <v>951</v>
      </c>
      <c r="C218">
        <f>SUM($B$2:Table1[[#This Row],[ConvertedPackages]])</f>
        <v>79875</v>
      </c>
    </row>
    <row r="219" spans="1:3" x14ac:dyDescent="0.35">
      <c r="A219" s="1">
        <v>43944.06235443287</v>
      </c>
      <c r="B219">
        <v>891</v>
      </c>
      <c r="C219">
        <f>SUM($B$2:Table1[[#This Row],[ConvertedPackages]])</f>
        <v>80766</v>
      </c>
    </row>
    <row r="220" spans="1:3" x14ac:dyDescent="0.35">
      <c r="A220" s="1">
        <v>43951.06235443287</v>
      </c>
      <c r="B220">
        <v>720</v>
      </c>
      <c r="C220">
        <f>SUM($B$2:Table1[[#This Row],[ConvertedPackages]])</f>
        <v>81486</v>
      </c>
    </row>
    <row r="221" spans="1:3" x14ac:dyDescent="0.35">
      <c r="A221" s="1">
        <v>43958.06235443287</v>
      </c>
      <c r="B221">
        <v>716</v>
      </c>
      <c r="C221">
        <f>SUM($B$2:Table1[[#This Row],[ConvertedPackages]])</f>
        <v>82202</v>
      </c>
    </row>
    <row r="222" spans="1:3" x14ac:dyDescent="0.35">
      <c r="A222" s="1">
        <v>43965.06235443287</v>
      </c>
      <c r="B222">
        <v>954</v>
      </c>
      <c r="C222">
        <f>SUM($B$2:Table1[[#This Row],[ConvertedPackages]])</f>
        <v>83156</v>
      </c>
    </row>
    <row r="223" spans="1:3" x14ac:dyDescent="0.35">
      <c r="A223" s="1">
        <v>43972.06235443287</v>
      </c>
      <c r="B223">
        <v>741</v>
      </c>
      <c r="C223">
        <f>SUM($B$2:Table1[[#This Row],[ConvertedPackages]])</f>
        <v>83897</v>
      </c>
    </row>
    <row r="224" spans="1:3" x14ac:dyDescent="0.35">
      <c r="A224" s="1">
        <v>43979.06235443287</v>
      </c>
      <c r="B224">
        <v>803</v>
      </c>
      <c r="C224">
        <f>SUM($B$2:Table1[[#This Row],[ConvertedPackages]])</f>
        <v>84700</v>
      </c>
    </row>
    <row r="225" spans="1:3" x14ac:dyDescent="0.35">
      <c r="A225" s="1">
        <v>43986.06235443287</v>
      </c>
      <c r="B225">
        <v>686</v>
      </c>
      <c r="C225">
        <f>SUM($B$2:Table1[[#This Row],[ConvertedPackages]])</f>
        <v>85386</v>
      </c>
    </row>
    <row r="226" spans="1:3" x14ac:dyDescent="0.35">
      <c r="A226" s="1">
        <v>43993.06235443287</v>
      </c>
      <c r="B226">
        <v>799</v>
      </c>
      <c r="C226">
        <f>SUM($B$2:Table1[[#This Row],[ConvertedPackages]])</f>
        <v>86185</v>
      </c>
    </row>
    <row r="227" spans="1:3" x14ac:dyDescent="0.35">
      <c r="A227" s="1">
        <v>44000.06235443287</v>
      </c>
      <c r="B227">
        <v>110</v>
      </c>
      <c r="C227">
        <f>SUM($B$2:Table1[[#This Row],[ConvertedPackages]])</f>
        <v>86295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Top 1000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Immo Landwerth</dc:creator>
  <cp:lastModifiedBy>Immo Landwerth</cp:lastModifiedBy>
  <dcterms:created xsi:type="dcterms:W3CDTF">2020-07-08T22:47:53Z</dcterms:created>
  <dcterms:modified xsi:type="dcterms:W3CDTF">2020-07-09T01:34:35Z</dcterms:modified>
</cp:coreProperties>
</file>